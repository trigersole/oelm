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c3396175d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8c5b965c1d4d15"/>
    <x:sheet xmlns:r="http://schemas.openxmlformats.org/officeDocument/2006/relationships" name="Runs" sheetId="2" r:id="Rf0133fea391248fc"/>
    <x:sheet xmlns:r="http://schemas.openxmlformats.org/officeDocument/2006/relationships" name="Per Task" sheetId="3" r:id="Rda0ca2e42ced4c6d"/>
    <x:sheet xmlns:r="http://schemas.openxmlformats.org/officeDocument/2006/relationships" name="Paper Benchmark" sheetId="4" r:id="R8f412837ef8e46c5"/>
    <x:sheet xmlns:r="http://schemas.openxmlformats.org/officeDocument/2006/relationships" name="Definitions" sheetId="5" r:id="R62f0142943464c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0%"/>
    <x:numFmt numFmtId="202" formatCode="0.000"/>
    <x:numFmt numFmtId="203" formatCode="0.0%"/>
    <x:numFmt numFmtId="204" formatCode="#,##0"/>
    <x:numFmt numFmtId="205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D9E2F3"/>
      </x:bottom>
    </x:border>
    <x:border>
      <x:top style="thin">
        <x:color rgb="FF17365D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17365D"/>
      </x:left>
      <x:top style="thin">
        <x:color rgb="FFD9E2F3"/>
      </x:top>
      <x:bottom style="thin">
        <x:color rgb="FF17365D"/>
      </x:bottom>
    </x:border>
    <x:border>
      <x:top style="thin">
        <x:color rgb="FFD9E2F3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201" fontId="0" fillId="4" borderId="0" xfId="0" applyNumberFormat="1" applyFont="1" applyFill="1" applyBorder="1"/>
    <x:xf numFmtId="201" fontId="0" fillId="5" borderId="0" xfId="0" applyNumberFormat="1" applyFont="1" applyFill="1" applyBorder="1"/>
    <x:xf numFmtId="202" fontId="0" fillId="4" borderId="0" xfId="0" applyNumberFormat="1" applyFont="1" applyFill="1" applyBorder="1"/>
    <x:xf numFmtId="202" fontId="0" fillId="5" borderId="0" xfId="0" applyNumberFormat="1" applyFont="1" applyFill="1" applyBorder="1"/>
    <x:xf numFmtId="0" fontId="3" fillId="2" borderId="4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200" fontId="0" fillId="4" borderId="7" xfId="0" applyNumberFormat="1" applyFont="1" applyFill="1" applyBorder="1"/>
    <x:xf numFmtId="201" fontId="0" fillId="4" borderId="7" xfId="0" applyNumberFormat="1" applyFont="1" applyFill="1" applyBorder="1"/>
    <x:xf numFmtId="202" fontId="0" fillId="4" borderId="7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200" fontId="0" fillId="5" borderId="7" xfId="0" applyNumberFormat="1" applyFont="1" applyFill="1" applyBorder="1"/>
    <x:xf numFmtId="201" fontId="0" fillId="5" borderId="7" xfId="0" applyNumberFormat="1" applyFont="1" applyFill="1" applyBorder="1"/>
    <x:xf numFmtId="202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200" fontId="0" fillId="5" borderId="9" xfId="0" applyNumberFormat="1" applyFont="1" applyFill="1" applyBorder="1"/>
    <x:xf numFmtId="201" fontId="0" fillId="5" borderId="9" xfId="0" applyNumberFormat="1" applyFont="1" applyFill="1" applyBorder="1"/>
    <x:xf numFmtId="202" fontId="0" fillId="5" borderId="9" xfId="0" applyNumberFormat="1" applyFont="1" applyFill="1" applyBorder="1"/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201" fontId="0" fillId="3" borderId="1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201" fontId="0" fillId="3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b355a6ffd44c0" /><Relationship Type="http://schemas.openxmlformats.org/officeDocument/2006/relationships/theme" Target="/xl/theme/theme1.xml" Id="R4cfe2965c2054d21" /><Relationship Type="http://schemas.openxmlformats.org/officeDocument/2006/relationships/sharedStrings" Target="/xl/sharedStrings.xml" Id="Rd0c58c5fd81a4f2d" /><Relationship Type="http://schemas.openxmlformats.org/officeDocument/2006/relationships/worksheet" Target="/xl/worksheets/sheet1.xml" Id="Rc68c5b965c1d4d15" /><Relationship Type="http://schemas.openxmlformats.org/officeDocument/2006/relationships/worksheet" Target="/xl/worksheets/sheet2.xml" Id="Rf0133fea391248fc" /><Relationship Type="http://schemas.openxmlformats.org/officeDocument/2006/relationships/worksheet" Target="/xl/worksheets/sheet3.xml" Id="Rda0ca2e42ced4c6d" /><Relationship Type="http://schemas.openxmlformats.org/officeDocument/2006/relationships/worksheet" Target="/xl/worksheets/sheet4.xml" Id="R8f412837ef8e46c5" /><Relationship Type="http://schemas.openxmlformats.org/officeDocument/2006/relationships/worksheet" Target="/xl/worksheets/sheet5.xml" Id="R62f0142943464c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fd9919fce94ab6" /><Relationship Type="http://schemas.openxmlformats.org/officeDocument/2006/relationships/chart" Target="/xl/drawings/charts/chart2.xml" Id="R67be481e960446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f0b8f3a1dbb4b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Binary model trade-off: overall scores vs intervention recall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Macro-F1</c:v>
          </c:tx>
          <c:cat>
            <c:strRef>
              <c:f>'Summary'!$A$28:$A$37</c:f>
              <c:strCache>
                <c:ptCount val="0"/>
              </c:strCache>
            </c:strRef>
          </c:cat>
          <c:val>
            <c:numRef>
              <c:f>'Summary'!$B$28:$B$37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Balanced accuracy</c:v>
          </c:tx>
          <c:cat>
            <c:strRef>
              <c:f>'Summary'!$A$28:$A$37</c:f>
              <c:strCache>
                <c:ptCount val="0"/>
              </c:strCache>
            </c:strRef>
          </c:cat>
          <c:val>
            <c:numRef>
              <c:f>'Summary'!$C$28:$C$37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Problem recall</c:v>
          </c:tx>
          <c:cat>
            <c:strRef>
              <c:f>'Summary'!$A$28:$A$37</c:f>
              <c:strCache>
                <c:ptCount val="0"/>
              </c:strCache>
            </c:strRef>
          </c:cat>
          <c:val>
            <c:numRef>
              <c:f>'Summary'!$D$28:$D$37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Four-label models: accuracy and class-balanced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Macro-F1</c:v>
          </c:tx>
          <c:cat>
            <c:strRef>
              <c:f>'Summary'!$A$49:$A$58</c:f>
              <c:strCache>
                <c:ptCount val="0"/>
              </c:strCache>
            </c:strRef>
          </c:cat>
          <c:val>
            <c:numRef>
              <c:f>'Summary'!$B$49:$B$58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Balanced accuracy</c:v>
          </c:tx>
          <c:cat>
            <c:strRef>
              <c:f>'Summary'!$A$49:$A$58</c:f>
              <c:strCache>
                <c:ptCount val="0"/>
              </c:strCache>
            </c:strRef>
          </c:cat>
          <c:val>
            <c:numRef>
              <c:f>'Summary'!$C$49:$C$58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Accuracy</c:v>
          </c:tx>
          <c:cat>
            <c:strRef>
              <c:f>'Summary'!$A$49:$A$58</c:f>
              <c:strCache>
                <c:ptCount val="0"/>
              </c:strCache>
            </c:strRef>
          </c:cat>
          <c:val>
            <c:numRef>
              <c:f>'Summary'!$D$49:$D$58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Kappa</c:v>
          </c:tx>
          <c:cat>
            <c:strRef>
              <c:f>'Summary'!$A$49:$A$58</c:f>
              <c:strCache>
                <c:ptCount val="0"/>
              </c:strCache>
            </c:strRef>
          </c:cat>
          <c:val>
            <c:numRef>
              <c:f>'Summary'!$E$49:$E$58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Per-state Top-1 accuracy: paper best vs selected temporal OELM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Paper best</c:v>
          </c:tx>
          <c:cat>
            <c:strRef>
              <c:f>'Paper Benchmark'!$G$22:$G$25</c:f>
              <c:strCache>
                <c:ptCount val="0"/>
              </c:strCache>
            </c:strRef>
          </c:cat>
          <c:val>
            <c:numRef>
              <c:f>'Paper Benchmark'!$H$22:$H$25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Selected temporal XGBoost</c:v>
          </c:tx>
          <c:cat>
            <c:strRef>
              <c:f>'Paper Benchmark'!$G$22:$G$25</c:f>
              <c:strCache>
                <c:ptCount val="0"/>
              </c:strCache>
            </c:strRef>
          </c:cat>
          <c:val>
            <c:numRef>
              <c:f>'Paper Benchmark'!$I$22:$I$25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26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fd9919fce94ab6"/>
        </a:graphicData>
      </a:graphic>
    </xdr:graphicFrame>
    <xdr:clientData/>
  </xdr:twoCellAnchor>
  <xdr:twoCellAnchor>
    <xdr:from>
      <xdr:col>5</xdr:col>
      <xdr:colOff>0</xdr:colOff>
      <xdr:row>47</xdr:row>
      <xdr:rowOff>0</xdr:rowOff>
    </xdr:from>
    <xdr:to>
      <xdr:col>18</xdr:col>
      <xdr:colOff>0</xdr:colOff>
      <xdr:row>65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be481e960446f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26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0b8f3a1dbb4b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RunsTable" displayName="ModelRunsTable" ref="A1:T31" headerRowCount="1" totalsRowCount="0" totalsRowShown="0">
  <x:tableColumns count="20">
    <x:tableColumn id="1" name="Target"/>
    <x:tableColumn id="2" name="Model group"/>
    <x:tableColumn id="3" name="Architecture"/>
    <x:tableColumn id="4" name="Inputs"/>
    <x:tableColumn id="5" name="Seed"/>
    <x:tableColumn id="6" name="Validation macro-F1"/>
    <x:tableColumn id="7" name="Validation balanced accuracy"/>
    <x:tableColumn id="8" name="Validation kappa"/>
    <x:tableColumn id="9" name="Test macro-F1"/>
    <x:tableColumn id="10" name="Test balanced accuracy"/>
    <x:tableColumn id="11" name="Test accuracy"/>
    <x:tableColumn id="12" name="Test MAE"/>
    <x:tableColumn id="13" name="Test kappa"/>
    <x:tableColumn id="14" name="Test high recall"/>
    <x:tableColumn id="15" name="Test low recall"/>
    <x:tableColumn id="16" name="OELM problem recall"/>
    <x:tableColumn id="17" name="Parameters"/>
    <x:tableColumn id="18" name="Training seconds"/>
    <x:tableColumn id="19" name="Source metrics JSON"/>
    <x:tableColumn id="20" name="Recommended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TaskMetricsTable" displayName="PerTaskMetricsTable" ref="A1:R121" headerRowCount="1" totalsRowCount="0" totalsRowShown="0">
  <x:tableColumns count="18">
    <x:tableColumn id="1" name="Target"/>
    <x:tableColumn id="2" name="Model group"/>
    <x:tableColumn id="3" name="Architecture"/>
    <x:tableColumn id="4" name="Inputs"/>
    <x:tableColumn id="5" name="Seed"/>
    <x:tableColumn id="6" name="Task"/>
    <x:tableColumn id="7" name="Macro-F1"/>
    <x:tableColumn id="8" name="Balanced accuracy"/>
    <x:tableColumn id="9" name="Accuracy"/>
    <x:tableColumn id="10" name="MAE"/>
    <x:tableColumn id="11" name="Kappa"/>
    <x:tableColumn id="12" name="Precision High"/>
    <x:tableColumn id="13" name="Recall High"/>
    <x:tableColumn id="14" name="Recall Low"/>
    <x:tableColumn id="15" name="Support Low"/>
    <x:tableColumn id="16" name="Support High"/>
    <x:tableColumn id="17" name="OELM problem recall"/>
    <x:tableColumn id="18" name="Source metrics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8e550f9f624f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68995ec00146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c9490dbc9d4b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9833120017c46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5" hidden="0" customWidth="1"/>
    <x:col min="4" max="4" width="34" hidden="0" customWidth="1"/>
    <x:col min="5" max="5" width="11" hidden="0" customWidth="1"/>
    <x:col min="6" max="6" width="1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8" hidden="0" customWidth="1"/>
  </x:cols>
  <x:sheetData>
    <x:row r="1" ht="30" customHeight="1">
      <x:c r="A1" s="4" t="str">
        <x:v>OELM Model Results — Consolidated Comparison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8" customHeight="1">
      <x:c r="A2" s="7" t="str">
        <x:v>DAiSEE participant-independent splits; ordinal and binary results are shown separately and must not be compared as the same task.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2" customHeight="1">
      <x:c r="A4" s="26" t="str">
        <x:v>Target</x:v>
      </x:c>
      <x:c r="B4" s="27" t="str">
        <x:v>Model family</x:v>
      </x:c>
      <x:c r="C4" s="27" t="str">
        <x:v>Architecture</x:v>
      </x:c>
      <x:c r="D4" s="27" t="str">
        <x:v>Inputs</x:v>
      </x:c>
      <x:c r="E4" s="27" t="str">
        <x:v>Seeds</x:v>
      </x:c>
      <x:c r="F4" s="27" t="str">
        <x:v>Runs</x:v>
      </x:c>
      <x:c r="G4" s="27" t="str">
        <x:v>Val macro-F1</x:v>
      </x:c>
      <x:c r="H4" s="27" t="str">
        <x:v>Val balanced acc.</x:v>
      </x:c>
      <x:c r="I4" s="27" t="str">
        <x:v>Val kappa</x:v>
      </x:c>
      <x:c r="J4" s="27" t="str">
        <x:v>Test macro-F1</x:v>
      </x:c>
      <x:c r="K4" s="27" t="str">
        <x:v>Test balanced acc.</x:v>
      </x:c>
      <x:c r="L4" s="27" t="str">
        <x:v>Test accuracy</x:v>
      </x:c>
      <x:c r="M4" s="27" t="str">
        <x:v>Test MAE</x:v>
      </x:c>
      <x:c r="N4" s="27" t="str">
        <x:v>Test kappa</x:v>
      </x:c>
      <x:c r="O4" s="27" t="str">
        <x:v>High recall</x:v>
      </x:c>
      <x:c r="P4" s="27" t="str">
        <x:v>Low recall</x:v>
      </x:c>
      <x:c r="Q4" s="27" t="str">
        <x:v>Problem recall</x:v>
      </x:c>
      <x:c r="R4" s="27" t="str">
        <x:v>Recommended use</x:v>
      </x:c>
    </x:row>
    <x:row r="5">
      <x:c r="A5" s="43" t="str">
        <x:v>Ordinal 4-level</x:v>
      </x:c>
      <x:c r="B5" s="44" t="str">
        <x:v>Existing XGBoost</x:v>
      </x:c>
      <x:c r="C5" s="44" t="str">
        <x:v>XGBoost</x:v>
      </x:c>
      <x:c r="D5" s="44" t="str">
        <x:v>364 blendshape statistics</x:v>
      </x:c>
      <x:c r="E5" s="29" t="str">
        <x:v>N/A</x:v>
      </x:c>
      <x:c r="F5" s="30" t="n">
        <x:v>1</x:v>
      </x:c>
      <x:c r="G5" s="31"/>
      <x:c r="H5" s="31"/>
      <x:c r="I5" s="31"/>
      <x:c r="J5" s="31" t="n">
        <x:f>AVERAGE('Runs'!$I$2:$I$2)</x:f>
        <x:v>0.29726430640349216</x:v>
      </x:c>
      <x:c r="K5" s="31" t="n">
        <x:f>AVERAGE('Runs'!$J$2:$J$2)</x:f>
        <x:v>0.31461056154844835</x:v>
      </x:c>
      <x:c r="L5" s="31" t="n">
        <x:f>AVERAGE('Runs'!$K$2:$K$2)</x:f>
        <x:v>0.5421686746987951</x:v>
      </x:c>
      <x:c r="M5" s="32" t="n">
        <x:f>AVERAGE('Runs'!$L$2:$L$2)</x:f>
        <x:v>0.5998731769181991</x:v>
      </x:c>
      <x:c r="N5" s="32" t="n">
        <x:f>AVERAGE('Runs'!$M$2:$M$2)</x:f>
        <x:v>0.14147986062185272</x:v>
      </x:c>
      <x:c r="O5" s="31"/>
      <x:c r="P5" s="31"/>
      <x:c r="Q5" s="31"/>
      <x:c r="R5" s="44" t="str">
        <x:v>Keep for 4-level severity display</x:v>
      </x:c>
    </x:row>
    <x:row r="6">
      <x:c r="A6" s="43" t="str">
        <x:v>Ordinal 4-level</x:v>
      </x:c>
      <x:c r="B6" s="44" t="str">
        <x:v>TCN-CORN</x:v>
      </x:c>
      <x:c r="C6" s="44" t="str">
        <x:v>TCN-CORN</x:v>
      </x:c>
      <x:c r="D6" s="44" t="str">
        <x:v>52 blendshapes + temporal deltas</x:v>
      </x:c>
      <x:c r="E6" s="29" t="str">
        <x:v>1729, 42</x:v>
      </x:c>
      <x:c r="F6" s="30" t="n">
        <x:v>2</x:v>
      </x:c>
      <x:c r="G6" s="31" t="n">
        <x:f>AVERAGE('Runs'!$F$3:$F$4)</x:f>
        <x:v>0.2891261240181989</x:v>
      </x:c>
      <x:c r="H6" s="31" t="n">
        <x:f>AVERAGE('Runs'!$G$3:$G$4)</x:f>
        <x:v>0.29536125799602464</x:v>
      </x:c>
      <x:c r="I6" s="31" t="n">
        <x:f>AVERAGE('Runs'!$H$3:$H$4)</x:f>
        <x:v>0.1418403800122079</x:v>
      </x:c>
      <x:c r="J6" s="31" t="n">
        <x:f>AVERAGE('Runs'!$I$3:$I$4)</x:f>
        <x:v>0.2921553063051905</x:v>
      </x:c>
      <x:c r="K6" s="31" t="n">
        <x:f>AVERAGE('Runs'!$J$3:$J$4)</x:f>
        <x:v>0.300531195549628</x:v>
      </x:c>
      <x:c r="L6" s="31" t="n">
        <x:f>AVERAGE('Runs'!$K$3:$K$4)</x:f>
        <x:v>0.5514426125554851</x:v>
      </x:c>
      <x:c r="M6" s="32" t="n">
        <x:f>AVERAGE('Runs'!$L$3:$L$4)</x:f>
        <x:v>0.5646005072923272</x:v>
      </x:c>
      <x:c r="N6" s="32" t="n">
        <x:f>AVERAGE('Runs'!$M$3:$M$4)</x:f>
        <x:v>0.1572194298655057</x:v>
      </x:c>
      <x:c r="O6" s="31"/>
      <x:c r="P6" s="31"/>
      <x:c r="Q6" s="31"/>
      <x:c r="R6" s="44" t="str">
        <x:v>Best temporal ordinal challenger</x:v>
      </x:c>
    </x:row>
    <x:row r="7">
      <x:c r="A7" s="43" t="str">
        <x:v>Ordinal 4-level</x:v>
      </x:c>
      <x:c r="B7" s="44" t="str">
        <x:v>BiLSTM-CORN</x:v>
      </x:c>
      <x:c r="C7" s="44" t="str">
        <x:v>BiLSTM-CORN</x:v>
      </x:c>
      <x:c r="D7" s="44" t="str">
        <x:v>52 blendshapes + temporal deltas</x:v>
      </x:c>
      <x:c r="E7" s="29" t="str">
        <x:v>1729</x:v>
      </x:c>
      <x:c r="F7" s="30" t="n">
        <x:v>1</x:v>
      </x:c>
      <x:c r="G7" s="31" t="n">
        <x:f>AVERAGE('Runs'!$F$5:$F$5)</x:f>
        <x:v>0.2952554502415772</x:v>
      </x:c>
      <x:c r="H7" s="31" t="n">
        <x:f>AVERAGE('Runs'!$G$5:$G$5)</x:f>
        <x:v>0.30620153481513673</x:v>
      </x:c>
      <x:c r="I7" s="31" t="n">
        <x:f>AVERAGE('Runs'!$H$5:$H$5)</x:f>
        <x:v>0.15226837871528803</x:v>
      </x:c>
      <x:c r="J7" s="31" t="n">
        <x:f>AVERAGE('Runs'!$I$5:$I$5)</x:f>
        <x:v>0.29394896146364446</x:v>
      </x:c>
      <x:c r="K7" s="31" t="n">
        <x:f>AVERAGE('Runs'!$J$5:$J$5)</x:f>
        <x:v>0.30539476731389004</x:v>
      </x:c>
      <x:c r="L7" s="31" t="n">
        <x:f>AVERAGE('Runs'!$K$5:$K$5)</x:f>
        <x:v>0.5168040583386175</x:v>
      </x:c>
      <x:c r="M7" s="32" t="n">
        <x:f>AVERAGE('Runs'!$L$5:$L$5)</x:f>
        <x:v>0.6147748890298035</x:v>
      </x:c>
      <x:c r="N7" s="32" t="n">
        <x:f>AVERAGE('Runs'!$M$5:$M$5)</x:f>
        <x:v>0.1619631503423568</x:v>
      </x:c>
      <x:c r="O7" s="31"/>
      <x:c r="P7" s="31"/>
      <x:c r="Q7" s="31"/>
      <x:c r="R7" s="44" t="str">
        <x:v>Do not promote over existing XGBoost</x:v>
      </x:c>
    </x:row>
    <x:row r="8">
      <x:c r="A8" s="43" t="str">
        <x:v>Ordinal 4-level</x:v>
      </x:c>
      <x:c r="B8" s="44" t="str">
        <x:v>Logistic Regression</x:v>
      </x:c>
      <x:c r="C8" s="44" t="str">
        <x:v>Logistic Regression</x:v>
      </x:c>
      <x:c r="D8" s="44" t="str">
        <x:v>364 blendshape + 84 behaviour statistics</x:v>
      </x:c>
      <x:c r="E8" s="29" t="str">
        <x:v>1729</x:v>
      </x:c>
      <x:c r="F8" s="30" t="n">
        <x:v>1</x:v>
      </x:c>
      <x:c r="G8" s="31" t="n">
        <x:f>AVERAGE('Runs'!$F$6:$F$6)</x:f>
        <x:v>0.2588938919810866</x:v>
      </x:c>
      <x:c r="H8" s="31" t="n">
        <x:f>AVERAGE('Runs'!$G$6:$G$6)</x:f>
        <x:v>0.28597873437337024</x:v>
      </x:c>
      <x:c r="I8" s="31" t="n">
        <x:f>AVERAGE('Runs'!$H$6:$H$6)</x:f>
        <x:v>0.07517015782646869</x:v>
      </x:c>
      <x:c r="J8" s="31" t="n">
        <x:f>AVERAGE('Runs'!$I$6:$I$6)</x:f>
        <x:v>0.2621245649618579</x:v>
      </x:c>
      <x:c r="K8" s="31" t="n">
        <x:f>AVERAGE('Runs'!$J$6:$J$6)</x:f>
        <x:v>0.30991439381410124</x:v>
      </x:c>
      <x:c r="L8" s="31" t="n">
        <x:f>AVERAGE('Runs'!$K$6:$K$6)</x:f>
        <x:v>0.4086873811033608</x:v>
      </x:c>
      <x:c r="M8" s="32" t="n">
        <x:f>AVERAGE('Runs'!$L$6:$L$6)</x:f>
        <x:v>0.8275206087507927</x:v>
      </x:c>
      <x:c r="N8" s="32" t="n">
        <x:f>AVERAGE('Runs'!$M$6:$M$6)</x:f>
        <x:v>0.11422640505039458</x:v>
      </x:c>
      <x:c r="O8" s="31"/>
      <x:c r="P8" s="31"/>
      <x:c r="Q8" s="31"/>
      <x:c r="R8" s="44" t="str">
        <x:v>Fast baseline; weak exact-level discrimination</x:v>
      </x:c>
    </x:row>
    <x:row r="9">
      <x:c r="A9" s="43" t="str">
        <x:v>Ordinal 4-level</x:v>
      </x:c>
      <x:c r="B9" s="44" t="str">
        <x:v>Linear SVM</x:v>
      </x:c>
      <x:c r="C9" s="44" t="str">
        <x:v>Linear SVM</x:v>
      </x:c>
      <x:c r="D9" s="44" t="str">
        <x:v>364 blendshape + 84 behaviour statistics</x:v>
      </x:c>
      <x:c r="E9" s="29" t="str">
        <x:v>1729</x:v>
      </x:c>
      <x:c r="F9" s="30" t="n">
        <x:v>1</x:v>
      </x:c>
      <x:c r="G9" s="31" t="n">
        <x:f>AVERAGE('Runs'!$F$7:$F$7)</x:f>
        <x:v>0.2751424131352945</x:v>
      </x:c>
      <x:c r="H9" s="31" t="n">
        <x:f>AVERAGE('Runs'!$G$7:$G$7)</x:f>
        <x:v>0.286255884193918</x:v>
      </x:c>
      <x:c r="I9" s="31" t="n">
        <x:f>AVERAGE('Runs'!$H$7:$H$7)</x:f>
        <x:v>0.08930690797718879</x:v>
      </x:c>
      <x:c r="J9" s="31" t="n">
        <x:f>AVERAGE('Runs'!$I$7:$I$7)</x:f>
        <x:v>0.28579748986690645</x:v>
      </x:c>
      <x:c r="K9" s="31" t="n">
        <x:f>AVERAGE('Runs'!$J$7:$J$7)</x:f>
        <x:v>0.3216299861708891</x:v>
      </x:c>
      <x:c r="L9" s="31" t="n">
        <x:f>AVERAGE('Runs'!$K$7:$K$7)</x:f>
        <x:v>0.5003170577045022</x:v>
      </x:c>
      <x:c r="M9" s="32" t="n">
        <x:f>AVERAGE('Runs'!$L$7:$L$7)</x:f>
        <x:v>0.6926125554850983</x:v>
      </x:c>
      <x:c r="N9" s="32" t="n">
        <x:f>AVERAGE('Runs'!$M$7:$M$7)</x:f>
        <x:v>0.15783755482014414</x:v>
      </x:c>
      <x:c r="O9" s="31"/>
      <x:c r="P9" s="31"/>
      <x:c r="Q9" s="31"/>
      <x:c r="R9" s="44" t="str">
        <x:v>Best classical 4-level class balance</x:v>
      </x:c>
    </x:row>
    <x:row r="10">
      <x:c r="A10" s="43" t="str">
        <x:v>Ordinal 4-level</x:v>
      </x:c>
      <x:c r="B10" s="44" t="str">
        <x:v>Random Forest</x:v>
      </x:c>
      <x:c r="C10" s="44" t="str">
        <x:v>Random Forest</x:v>
      </x:c>
      <x:c r="D10" s="44" t="str">
        <x:v>364 blendshape + 84 behaviour statistics</x:v>
      </x:c>
      <x:c r="E10" s="29" t="str">
        <x:v>1729, 42</x:v>
      </x:c>
      <x:c r="F10" s="30" t="n">
        <x:v>2</x:v>
      </x:c>
      <x:c r="G10" s="31" t="n">
        <x:f>AVERAGE('Runs'!$F$8:$F$9)</x:f>
        <x:v>0.2513509308365016</x:v>
      </x:c>
      <x:c r="H10" s="31" t="n">
        <x:f>AVERAGE('Runs'!$G$8:$G$9)</x:f>
        <x:v>0.2789555001416111</x:v>
      </x:c>
      <x:c r="I10" s="31" t="n">
        <x:f>AVERAGE('Runs'!$H$8:$H$9)</x:f>
        <x:v>0.08450734228132753</x:v>
      </x:c>
      <x:c r="J10" s="31" t="n">
        <x:f>AVERAGE('Runs'!$I$8:$I$9)</x:f>
        <x:v>0.24067911042619244</x:v>
      </x:c>
      <x:c r="K10" s="31" t="n">
        <x:f>AVERAGE('Runs'!$J$8:$J$9)</x:f>
        <x:v>0.26770549569811614</x:v>
      </x:c>
      <x:c r="L10" s="31" t="n">
        <x:f>AVERAGE('Runs'!$K$8:$K$9)</x:f>
        <x:v>0.62071972098922</x:v>
      </x:c>
      <x:c r="M10" s="32" t="n">
        <x:f>AVERAGE('Runs'!$L$8:$L$9)</x:f>
        <x:v>0.4712270133164236</x:v>
      </x:c>
      <x:c r="N10" s="32" t="n">
        <x:f>AVERAGE('Runs'!$M$8:$M$9)</x:f>
        <x:v>0.059325292433171584</x:v>
      </x:c>
      <x:c r="O10" s="31"/>
      <x:c r="P10" s="31"/>
      <x:c r="Q10" s="31"/>
      <x:c r="R10" s="44" t="str">
        <x:v>Majority-dominated; low MAE but weak macro-F1</x:v>
      </x:c>
    </x:row>
    <x:row r="11">
      <x:c r="A11" s="43" t="str">
        <x:v>Ordinal 4-level</x:v>
      </x:c>
      <x:c r="B11" s="44" t="str">
        <x:v>Extra Trees</x:v>
      </x:c>
      <x:c r="C11" s="44" t="str">
        <x:v>Extra Trees</x:v>
      </x:c>
      <x:c r="D11" s="44" t="str">
        <x:v>364 blendshape + 84 behaviour statistics</x:v>
      </x:c>
      <x:c r="E11" s="29" t="str">
        <x:v>1729, 42</x:v>
      </x:c>
      <x:c r="F11" s="30" t="n">
        <x:v>2</x:v>
      </x:c>
      <x:c r="G11" s="31" t="n">
        <x:f>AVERAGE('Runs'!$F$10:$F$11)</x:f>
        <x:v>0.25235401403223007</x:v>
      </x:c>
      <x:c r="H11" s="31" t="n">
        <x:f>AVERAGE('Runs'!$G$10:$G$11)</x:f>
        <x:v>0.280552506540683</x:v>
      </x:c>
      <x:c r="I11" s="31" t="n">
        <x:f>AVERAGE('Runs'!$H$10:$H$11)</x:f>
        <x:v>0.0847715776565947</x:v>
      </x:c>
      <x:c r="J11" s="31" t="n">
        <x:f>AVERAGE('Runs'!$I$10:$I$11)</x:f>
        <x:v>0.2456228966609009</x:v>
      </x:c>
      <x:c r="K11" s="31" t="n">
        <x:f>AVERAGE('Runs'!$J$10:$J$11)</x:f>
        <x:v>0.2709899960652953</x:v>
      </x:c>
      <x:c r="L11" s="31" t="n">
        <x:f>AVERAGE('Runs'!$K$10:$K$11)</x:f>
        <x:v>0.6251585288522511</x:v>
      </x:c>
      <x:c r="M11" s="32" t="n">
        <x:f>AVERAGE('Runs'!$L$10:$L$11)</x:f>
        <x:v>0.46092263792010146</x:v>
      </x:c>
      <x:c r="N11" s="32" t="n">
        <x:f>AVERAGE('Runs'!$M$10:$M$11)</x:f>
        <x:v>0.07276265610076746</x:v>
      </x:c>
      <x:c r="O11" s="31"/>
      <x:c r="P11" s="31"/>
      <x:c r="Q11" s="31"/>
      <x:c r="R11" s="44" t="str">
        <x:v>Best tree MAE; weak minority-level recall</x:v>
      </x:c>
    </x:row>
    <x:row r="12">
      <x:c r="A12" s="43" t="str">
        <x:v>Ordinal 4-level</x:v>
      </x:c>
      <x:c r="B12" s="44" t="str">
        <x:v>Retrained combined XGBoost</x:v>
      </x:c>
      <x:c r="C12" s="44" t="str">
        <x:v>XGBoost</x:v>
      </x:c>
      <x:c r="D12" s="44" t="str">
        <x:v>448 blendshape + behaviour statistics</x:v>
      </x:c>
      <x:c r="E12" s="29" t="str">
        <x:v>1729</x:v>
      </x:c>
      <x:c r="F12" s="30" t="n">
        <x:v>1</x:v>
      </x:c>
      <x:c r="G12" s="31" t="n">
        <x:f>AVERAGE('Runs'!$F$12:$F$12)</x:f>
        <x:v>0.286711701513117</x:v>
      </x:c>
      <x:c r="H12" s="31" t="n">
        <x:f>AVERAGE('Runs'!$G$12:$G$12)</x:f>
        <x:v>0.29063205135263914</x:v>
      </x:c>
      <x:c r="I12" s="31" t="n">
        <x:f>AVERAGE('Runs'!$H$12:$H$12)</x:f>
        <x:v>0.13036008464430413</x:v>
      </x:c>
      <x:c r="J12" s="31" t="n">
        <x:f>AVERAGE('Runs'!$I$12:$I$12)</x:f>
        <x:v>0.2878868157141318</x:v>
      </x:c>
      <x:c r="K12" s="31" t="n">
        <x:f>AVERAGE('Runs'!$J$12:$J$12)</x:f>
        <x:v>0.2901842010599659</x:v>
      </x:c>
      <x:c r="L12" s="31" t="n">
        <x:f>AVERAGE('Runs'!$K$12:$K$12)</x:f>
        <x:v>0.5773620798985415</x:v>
      </x:c>
      <x:c r="M12" s="32" t="n">
        <x:f>AVERAGE('Runs'!$L$12:$L$12)</x:f>
        <x:v>0.5198161065313888</x:v>
      </x:c>
      <x:c r="N12" s="32" t="n">
        <x:f>AVERAGE('Runs'!$M$12:$M$12)</x:f>
        <x:v>0.1326805897738637</x:v>
      </x:c>
      <x:c r="O12" s="31"/>
      <x:c r="P12" s="31"/>
      <x:c r="Q12" s="31"/>
      <x:c r="R12" s="44" t="str">
        <x:v>Controlled retraining baseline for temporal ablation</x:v>
      </x:c>
    </x:row>
    <x:row r="13">
      <x:c r="A13" s="43" t="str">
        <x:v>Ordinal 4-level</x:v>
      </x:c>
      <x:c r="B13" s="44" t="str">
        <x:v>Full temporal XGBoost</x:v>
      </x:c>
      <x:c r="C13" s="44" t="str">
        <x:v>XGBoost</x:v>
      </x:c>
      <x:c r="D13" s="44" t="str">
        <x:v>1,664 distribution + temporal statistics</x:v>
      </x:c>
      <x:c r="E13" s="29" t="str">
        <x:v>1729</x:v>
      </x:c>
      <x:c r="F13" s="30" t="n">
        <x:v>1</x:v>
      </x:c>
      <x:c r="G13" s="31" t="n">
        <x:f>AVERAGE('Runs'!$F$13:$F$13)</x:f>
        <x:v>0.2854391411308093</x:v>
      </x:c>
      <x:c r="H13" s="31" t="n">
        <x:f>AVERAGE('Runs'!$G$13:$G$13)</x:f>
        <x:v>0.29058174589769825</x:v>
      </x:c>
      <x:c r="I13" s="31" t="n">
        <x:f>AVERAGE('Runs'!$H$13:$H$13)</x:f>
        <x:v>0.11910611535932625</x:v>
      </x:c>
      <x:c r="J13" s="31" t="n">
        <x:f>AVERAGE('Runs'!$I$13:$I$13)</x:f>
        <x:v>0.28661246387706973</x:v>
      </x:c>
      <x:c r="K13" s="31" t="n">
        <x:f>AVERAGE('Runs'!$J$13:$J$13)</x:f>
        <x:v>0.2897969458431462</x:v>
      </x:c>
      <x:c r="L13" s="31" t="n">
        <x:f>AVERAGE('Runs'!$K$13:$K$13)</x:f>
        <x:v>0.588142041851617</x:v>
      </x:c>
      <x:c r="M13" s="32" t="n">
        <x:f>AVERAGE('Runs'!$L$13:$L$13)</x:f>
        <x:v>0.49714648065948003</x:v>
      </x:c>
      <x:c r="N13" s="32" t="n">
        <x:f>AVERAGE('Runs'!$M$13:$M$13)</x:f>
        <x:v>0.12923246214329848</x:v>
      </x:c>
      <x:c r="O13" s="31"/>
      <x:c r="P13" s="31"/>
      <x:c r="Q13" s="31"/>
      <x:c r="R13" s="44" t="str">
        <x:v>Do not promote; full set adds noise and training cost</x:v>
      </x:c>
    </x:row>
    <x:row r="14">
      <x:c r="A14" s="43" t="str">
        <x:v>Ordinal 4-level</x:v>
      </x:c>
      <x:c r="B14" s="44" t="str">
        <x:v>Selected temporal XGBoost</x:v>
      </x:c>
      <x:c r="C14" s="44" t="str">
        <x:v>XGBoost</x:v>
      </x:c>
      <x:c r="D14" s="44" t="str">
        <x:v>512 task-specific features selected from 1,664</x:v>
      </x:c>
      <x:c r="E14" s="29" t="str">
        <x:v>1729, 42</x:v>
      </x:c>
      <x:c r="F14" s="30" t="n">
        <x:v>2</x:v>
      </x:c>
      <x:c r="G14" s="31" t="n">
        <x:f>AVERAGE('Runs'!$F$14:$F$15)</x:f>
        <x:v>0.2916988952753733</x:v>
      </x:c>
      <x:c r="H14" s="31" t="n">
        <x:f>AVERAGE('Runs'!$G$14:$G$15)</x:f>
        <x:v>0.2948324991153644</x:v>
      </x:c>
      <x:c r="I14" s="31" t="n">
        <x:f>AVERAGE('Runs'!$H$14:$H$15)</x:f>
        <x:v>0.13155825229450724</x:v>
      </x:c>
      <x:c r="J14" s="31" t="n">
        <x:f>AVERAGE('Runs'!$I$14:$I$15)</x:f>
        <x:v>0.29348505909909467</x:v>
      </x:c>
      <x:c r="K14" s="31" t="n">
        <x:f>AVERAGE('Runs'!$J$14:$J$15)</x:f>
        <x:v>0.29542654379687405</x:v>
      </x:c>
      <x:c r="L14" s="31" t="n">
        <x:f>AVERAGE('Runs'!$K$14:$K$15)</x:f>
        <x:v>0.5821179454660748</x:v>
      </x:c>
      <x:c r="M14" s="32" t="n">
        <x:f>AVERAGE('Runs'!$L$14:$L$15)</x:f>
        <x:v>0.5075301204819277</x:v>
      </x:c>
      <x:c r="N14" s="32" t="n">
        <x:f>AVERAGE('Runs'!$M$14:$M$15)</x:f>
        <x:v>0.13982797256121818</x:v>
      </x:c>
      <x:c r="O14" s="31"/>
      <x:c r="P14" s="31"/>
      <x:c r="Q14" s="31"/>
      <x:c r="R14" s="44" t="str">
        <x:v>Best four-level accuracy/MAE trade-off</x:v>
      </x:c>
    </x:row>
    <x:row r="15">
      <x:c r="A15" s="45" t="str">
        <x:v>Binary Low/High</x:v>
      </x:c>
      <x:c r="B15" s="46" t="str">
        <x:v>Collapsed 4-class XGBoost</x:v>
      </x:c>
      <x:c r="C15" s="46" t="str">
        <x:v>XGBoost</x:v>
      </x:c>
      <x:c r="D15" s="46" t="str">
        <x:v>364 blendshape statistics</x:v>
      </x:c>
      <x:c r="E15" s="34" t="str">
        <x:v>N/A</x:v>
      </x:c>
      <x:c r="F15" s="35" t="n">
        <x:v>1</x:v>
      </x:c>
      <x:c r="G15" s="36" t="n">
        <x:f>AVERAGE('Runs'!$F$16:$F$16)</x:f>
        <x:v>0.5605477181116152</x:v>
      </x:c>
      <x:c r="H15" s="36" t="n">
        <x:f>AVERAGE('Runs'!$G$16:$G$16)</x:f>
        <x:v>0.5666617044525332</x:v>
      </x:c>
      <x:c r="I15" s="36" t="n">
        <x:f>AVERAGE('Runs'!$H$16:$H$16)</x:f>
        <x:v>0.12361525609738166</x:v>
      </x:c>
      <x:c r="J15" s="36" t="n">
        <x:f>AVERAGE('Runs'!$I$16:$I$16)</x:f>
        <x:v>0.5555858036218436</x:v>
      </x:c>
      <x:c r="K15" s="36" t="n">
        <x:f>AVERAGE('Runs'!$J$16:$J$16)</x:f>
        <x:v>0.5715120342672161</x:v>
      </x:c>
      <x:c r="L15" s="36" t="n">
        <x:f>AVERAGE('Runs'!$K$16:$K$16)</x:f>
        <x:v>0.8124603677869372</x:v>
      </x:c>
      <x:c r="M15" s="37" t="n">
        <x:f>AVERAGE('Runs'!$L$16:$L$16)</x:f>
        <x:v>0.18753963221306277</x:v>
      </x:c>
      <x:c r="N15" s="37" t="n">
        <x:f>AVERAGE('Runs'!$M$16:$M$16)</x:f>
        <x:v>0.11787670585799603</x:v>
      </x:c>
      <x:c r="O15" s="36" t="n">
        <x:f>AVERAGE('Runs'!$N$16:$N$16)</x:f>
        <x:v>0.44421569061422383</x:v>
      </x:c>
      <x:c r="P15" s="36" t="n">
        <x:f>AVERAGE('Runs'!$O$16:$O$16)</x:f>
        <x:v>0.6988083779202086</x:v>
      </x:c>
      <x:c r="Q15" s="36" t="n">
        <x:f>AVERAGE('Runs'!$P$16:$P$16)</x:f>
        <x:v>0.2809315728232131</x:v>
      </x:c>
      <x:c r="R15" s="46" t="str">
        <x:v>Strong low-cost binary baseline</x:v>
      </x:c>
    </x:row>
    <x:row r="16">
      <x:c r="A16" s="45" t="str">
        <x:v>Binary Low/High</x:v>
      </x:c>
      <x:c r="B16" s="46" t="str">
        <x:v>Direct binary XGBoost</x:v>
      </x:c>
      <x:c r="C16" s="46" t="str">
        <x:v>XGBoost</x:v>
      </x:c>
      <x:c r="D16" s="46" t="str">
        <x:v>364 blendshape statistics</x:v>
      </x:c>
      <x:c r="E16" s="34" t="str">
        <x:v>1729, 42</x:v>
      </x:c>
      <x:c r="F16" s="35" t="n">
        <x:v>2</x:v>
      </x:c>
      <x:c r="G16" s="36" t="n">
        <x:f>AVERAGE('Runs'!$F$17:$F$18)</x:f>
        <x:v>0.5701749307324581</x:v>
      </x:c>
      <x:c r="H16" s="36" t="n">
        <x:f>AVERAGE('Runs'!$G$17:$G$18)</x:f>
        <x:v>0.5719680716912421</x:v>
      </x:c>
      <x:c r="I16" s="36" t="n">
        <x:f>AVERAGE('Runs'!$H$17:$H$18)</x:f>
        <x:v>0.14114113294944416</x:v>
      </x:c>
      <x:c r="J16" s="36" t="n">
        <x:f>AVERAGE('Runs'!$I$17:$I$18)</x:f>
        <x:v>0.5479283819942012</x:v>
      </x:c>
      <x:c r="K16" s="36" t="n">
        <x:f>AVERAGE('Runs'!$J$17:$J$18)</x:f>
        <x:v>0.5549484216851033</x:v>
      </x:c>
      <x:c r="L16" s="36" t="n">
        <x:f>AVERAGE('Runs'!$K$17:$K$18)</x:f>
        <x:v>0.8283132530120483</x:v>
      </x:c>
      <x:c r="M16" s="37" t="n">
        <x:f>AVERAGE('Runs'!$L$17:$L$18)</x:f>
        <x:v>0.1716867469879518</x:v>
      </x:c>
      <x:c r="N16" s="37" t="n">
        <x:f>AVERAGE('Runs'!$M$17:$M$18)</x:f>
        <x:v>0.09757765684486067</x:v>
      </x:c>
      <x:c r="O16" s="36" t="n">
        <x:f>AVERAGE('Runs'!$N$17:$N$18)</x:f>
        <x:v>0.3847142063025673</x:v>
      </x:c>
      <x:c r="P16" s="36" t="n">
        <x:f>AVERAGE('Runs'!$O$17:$O$18)</x:f>
        <x:v>0.7251826370676391</x:v>
      </x:c>
      <x:c r="Q16" s="36" t="n">
        <x:f>AVERAGE('Runs'!$P$17:$P$18)</x:f>
        <x:v>0.22207961131113246</x:v>
      </x:c>
      <x:c r="R16" s="46" t="str">
        <x:v>Superseded by combined-feature XGBoost</x:v>
      </x:c>
    </x:row>
    <x:row r="17">
      <x:c r="A17" s="45" t="str">
        <x:v>Binary Low/High</x:v>
      </x:c>
      <x:c r="B17" s="46" t="str">
        <x:v>Binary TCN</x:v>
      </x:c>
      <x:c r="C17" s="46" t="str">
        <x:v>TCN-CORN</x:v>
      </x:c>
      <x:c r="D17" s="46" t="str">
        <x:v>52 blendshapes + temporal deltas</x:v>
      </x:c>
      <x:c r="E17" s="34" t="str">
        <x:v>1729, 42</x:v>
      </x:c>
      <x:c r="F17" s="35" t="n">
        <x:v>2</x:v>
      </x:c>
      <x:c r="G17" s="36" t="n">
        <x:f>AVERAGE('Runs'!$F$19:$F$20)</x:f>
        <x:v>0.5715732003774393</x:v>
      </x:c>
      <x:c r="H17" s="36" t="n">
        <x:f>AVERAGE('Runs'!$G$19:$G$20)</x:f>
        <x:v>0.5740102353555061</x:v>
      </x:c>
      <x:c r="I17" s="36" t="n">
        <x:f>AVERAGE('Runs'!$H$19:$H$20)</x:f>
        <x:v>0.14583629397643721</x:v>
      </x:c>
      <x:c r="J17" s="36" t="n">
        <x:f>AVERAGE('Runs'!$I$19:$I$20)</x:f>
        <x:v>0.5485785530369935</x:v>
      </x:c>
      <x:c r="K17" s="36" t="n">
        <x:f>AVERAGE('Runs'!$J$19:$J$20)</x:f>
        <x:v>0.5746133706556282</x:v>
      </x:c>
      <x:c r="L17" s="36" t="n">
        <x:f>AVERAGE('Runs'!$K$19:$K$20)</x:f>
        <x:v>0.7925649968294229</x:v>
      </x:c>
      <x:c r="M17" s="37" t="n">
        <x:f>AVERAGE('Runs'!$L$19:$L$20)</x:f>
        <x:v>0.20743500317057706</x:v>
      </x:c>
      <x:c r="N17" s="37" t="n">
        <x:f>AVERAGE('Runs'!$M$19:$M$20)</x:f>
        <x:v>0.11556323949329604</x:v>
      </x:c>
      <x:c r="O17" s="36" t="n">
        <x:f>AVERAGE('Runs'!$N$19:$N$20)</x:f>
        <x:v>0.4909785928981204</x:v>
      </x:c>
      <x:c r="P17" s="36" t="n">
        <x:f>AVERAGE('Runs'!$O$19:$O$20)</x:f>
        <x:v>0.6582481484131362</x:v>
      </x:c>
      <x:c r="Q17" s="36" t="n">
        <x:f>AVERAGE('Runs'!$P$19:$P$20)</x:f>
        <x:v>0.3115308402266138</x:v>
      </x:c>
      <x:c r="R17" s="46" t="str">
        <x:v>Recommended intervention-detection gate</x:v>
      </x:c>
    </x:row>
    <x:row r="18">
      <x:c r="A18" s="45" t="str">
        <x:v>Binary Low/High</x:v>
      </x:c>
      <x:c r="B18" s="46" t="str">
        <x:v>Binary BiLSTM</x:v>
      </x:c>
      <x:c r="C18" s="46" t="str">
        <x:v>BiLSTM-CORN</x:v>
      </x:c>
      <x:c r="D18" s="46" t="str">
        <x:v>52 blendshapes + temporal deltas</x:v>
      </x:c>
      <x:c r="E18" s="34" t="str">
        <x:v>1729</x:v>
      </x:c>
      <x:c r="F18" s="35" t="n">
        <x:v>1</x:v>
      </x:c>
      <x:c r="G18" s="36" t="n">
        <x:f>AVERAGE('Runs'!$F$21:$F$21)</x:f>
        <x:v>0.5676738070631022</x:v>
      </x:c>
      <x:c r="H18" s="36" t="n">
        <x:f>AVERAGE('Runs'!$G$21:$G$21)</x:f>
        <x:v>0.5700922635105736</x:v>
      </x:c>
      <x:c r="I18" s="36" t="n">
        <x:f>AVERAGE('Runs'!$H$21:$H$21)</x:f>
        <x:v>0.13772526633687843</x:v>
      </x:c>
      <x:c r="J18" s="36" t="n">
        <x:f>AVERAGE('Runs'!$I$21:$I$21)</x:f>
        <x:v>0.5544481863549764</x:v>
      </x:c>
      <x:c r="K18" s="36" t="n">
        <x:f>AVERAGE('Runs'!$J$21:$J$21)</x:f>
        <x:v>0.5741079157524032</x:v>
      </x:c>
      <x:c r="L18" s="36" t="n">
        <x:f>AVERAGE('Runs'!$K$21:$K$21)</x:f>
        <x:v>0.8059606848446417</x:v>
      </x:c>
      <x:c r="M18" s="37" t="n">
        <x:f>AVERAGE('Runs'!$L$21:$L$21)</x:f>
        <x:v>0.19403931515535827</x:v>
      </x:c>
      <x:c r="N18" s="37" t="n">
        <x:f>AVERAGE('Runs'!$M$21:$M$21)</x:f>
        <x:v>0.12876813835890444</x:v>
      </x:c>
      <x:c r="O18" s="36" t="n">
        <x:f>AVERAGE('Runs'!$N$21:$N$21)</x:f>
        <x:v>0.5061952388808371</x:v>
      </x:c>
      <x:c r="P18" s="36" t="n">
        <x:f>AVERAGE('Runs'!$O$21:$O$21)</x:f>
        <x:v>0.6420205926239692</x:v>
      </x:c>
      <x:c r="Q18" s="36" t="n">
        <x:f>AVERAGE('Runs'!$P$21:$P$21)</x:f>
        <x:v>0.3010133317105948</x:v>
      </x:c>
      <x:c r="R18" s="46" t="str">
        <x:v>Compromise model; not primary recommendation</x:v>
      </x:c>
    </x:row>
    <x:row r="19">
      <x:c r="A19" s="45" t="str">
        <x:v>Binary Low/High</x:v>
      </x:c>
      <x:c r="B19" s="46" t="str">
        <x:v>Binary TCN + behaviour</x:v>
      </x:c>
      <x:c r="C19" s="46" t="str">
        <x:v>TCN-CORN</x:v>
      </x:c>
      <x:c r="D19" s="46" t="str">
        <x:v>52 blendshapes + 12 behaviours + deltas</x:v>
      </x:c>
      <x:c r="E19" s="34" t="str">
        <x:v>1729, 42</x:v>
      </x:c>
      <x:c r="F19" s="35" t="n">
        <x:v>2</x:v>
      </x:c>
      <x:c r="G19" s="36" t="n">
        <x:f>AVERAGE('Runs'!$F$22:$F$23)</x:f>
        <x:v>0.5697277555254294</x:v>
      </x:c>
      <x:c r="H19" s="36" t="n">
        <x:f>AVERAGE('Runs'!$G$22:$G$23)</x:f>
        <x:v>0.5709512955608123</x:v>
      </x:c>
      <x:c r="I19" s="36" t="n">
        <x:f>AVERAGE('Runs'!$H$22:$H$23)</x:f>
        <x:v>0.14038900988736447</x:v>
      </x:c>
      <x:c r="J19" s="36" t="n">
        <x:f>AVERAGE('Runs'!$I$22:$I$23)</x:f>
        <x:v>0.5538957749108162</x:v>
      </x:c>
      <x:c r="K19" s="36" t="n">
        <x:f>AVERAGE('Runs'!$J$22:$J$23)</x:f>
        <x:v>0.5699965879209512</x:v>
      </x:c>
      <x:c r="L19" s="36" t="n">
        <x:f>AVERAGE('Runs'!$K$22:$K$23)</x:f>
        <x:v>0.8162650602409638</x:v>
      </x:c>
      <x:c r="M19" s="37" t="n">
        <x:f>AVERAGE('Runs'!$L$22:$L$23)</x:f>
        <x:v>0.18373493975903615</x:v>
      </x:c>
      <x:c r="N19" s="37" t="n">
        <x:f>AVERAGE('Runs'!$M$22:$M$23)</x:f>
        <x:v>0.11811221427468235</x:v>
      </x:c>
      <x:c r="O19" s="36" t="n">
        <x:f>AVERAGE('Runs'!$N$22:$N$23)</x:f>
        <x:v>0.4747546779208359</x:v>
      </x:c>
      <x:c r="P19" s="36" t="n">
        <x:f>AVERAGE('Runs'!$O$22:$O$23)</x:f>
        <x:v>0.6652384979210665</x:v>
      </x:c>
      <x:c r="Q19" s="36" t="n">
        <x:f>AVERAGE('Runs'!$P$22:$P$23)</x:f>
        <x:v>0.2737533727572826</x:v>
      </x:c>
      <x:c r="R19" s="46" t="str">
        <x:v>Do not promote; problem recall decreased</x:v>
      </x:c>
    </x:row>
    <x:row r="20">
      <x:c r="A20" s="45" t="str">
        <x:v>Binary Low/High</x:v>
      </x:c>
      <x:c r="B20" s="46" t="str">
        <x:v>Combined-feature XGBoost</x:v>
      </x:c>
      <x:c r="C20" s="46" t="str">
        <x:v>XGBoost</x:v>
      </x:c>
      <x:c r="D20" s="46" t="str">
        <x:v>364 blendshape + 84 behaviour statistics</x:v>
      </x:c>
      <x:c r="E20" s="34" t="str">
        <x:v>1729, 42</x:v>
      </x:c>
      <x:c r="F20" s="35" t="n">
        <x:v>2</x:v>
      </x:c>
      <x:c r="G20" s="36" t="n">
        <x:f>AVERAGE('Runs'!$F$24:$F$25)</x:f>
        <x:v>0.5823013913094744</x:v>
      </x:c>
      <x:c r="H20" s="36" t="n">
        <x:f>AVERAGE('Runs'!$G$24:$G$25)</x:f>
        <x:v>0.5874450526535271</x:v>
      </x:c>
      <x:c r="I20" s="36" t="n">
        <x:f>AVERAGE('Runs'!$H$24:$H$25)</x:f>
        <x:v>0.1674583473684765</x:v>
      </x:c>
      <x:c r="J20" s="36" t="n">
        <x:f>AVERAGE('Runs'!$I$24:$I$25)</x:f>
        <x:v>0.5595585704176254</x:v>
      </x:c>
      <x:c r="K20" s="36" t="n">
        <x:f>AVERAGE('Runs'!$J$24:$J$25)</x:f>
        <x:v>0.5710782803268698</x:v>
      </x:c>
      <x:c r="L20" s="36" t="n">
        <x:f>AVERAGE('Runs'!$K$24:$K$25)</x:f>
        <x:v>0.8307704502219404</x:v>
      </x:c>
      <x:c r="M20" s="37" t="n">
        <x:f>AVERAGE('Runs'!$L$24:$L$25)</x:f>
        <x:v>0.1692295497780596</x:v>
      </x:c>
      <x:c r="N20" s="37" t="n">
        <x:f>AVERAGE('Runs'!$M$24:$M$25)</x:f>
        <x:v>0.12180791323311904</x:v>
      </x:c>
      <x:c r="O20" s="36" t="n">
        <x:f>AVERAGE('Runs'!$N$24:$N$25)</x:f>
        <x:v>0.40646538399588195</x:v>
      </x:c>
      <x:c r="P20" s="36" t="n">
        <x:f>AVERAGE('Runs'!$O$24:$O$25)</x:f>
        <x:v>0.7356911766578577</x:v>
      </x:c>
      <x:c r="Q20" s="36" t="n">
        <x:f>AVERAGE('Runs'!$P$24:$P$25)</x:f>
        <x:v>0.2553376411131019</x:v>
      </x:c>
      <x:c r="R20" s="46" t="str">
        <x:v>Best XGBoost; confirmation/calibration model</x:v>
      </x:c>
    </x:row>
    <x:row r="21">
      <x:c r="A21" s="45" t="str">
        <x:v>Binary Low/High</x:v>
      </x:c>
      <x:c r="B21" s="46" t="str">
        <x:v>Logistic Regression</x:v>
      </x:c>
      <x:c r="C21" s="46" t="str">
        <x:v>Logistic Regression</x:v>
      </x:c>
      <x:c r="D21" s="46" t="str">
        <x:v>364 blendshape + 84 behaviour statistics</x:v>
      </x:c>
      <x:c r="E21" s="34" t="str">
        <x:v>1729</x:v>
      </x:c>
      <x:c r="F21" s="35" t="n">
        <x:v>1</x:v>
      </x:c>
      <x:c r="G21" s="36" t="n">
        <x:f>AVERAGE('Runs'!$F$26:$F$26)</x:f>
        <x:v>0.5469456646290165</x:v>
      </x:c>
      <x:c r="H21" s="36" t="n">
        <x:f>AVERAGE('Runs'!$G$26:$G$26)</x:f>
        <x:v>0.5522895580414408</x:v>
      </x:c>
      <x:c r="I21" s="36" t="n">
        <x:f>AVERAGE('Runs'!$H$26:$H$26)</x:f>
        <x:v>0.0973208068991118</x:v>
      </x:c>
      <x:c r="J21" s="36" t="n">
        <x:f>AVERAGE('Runs'!$I$26:$I$26)</x:f>
        <x:v>0.5573433145673867</x:v>
      </x:c>
      <x:c r="K21" s="36" t="n">
        <x:f>AVERAGE('Runs'!$J$26:$J$26)</x:f>
        <x:v>0.564234631951577</x:v>
      </x:c>
      <x:c r="L21" s="36" t="n">
        <x:f>AVERAGE('Runs'!$K$26:$K$26)</x:f>
        <x:v>0.8406785034876348</x:v>
      </x:c>
      <x:c r="M21" s="37" t="n">
        <x:f>AVERAGE('Runs'!$L$26:$L$26)</x:f>
        <x:v>0.15932149651236524</x:v>
      </x:c>
      <x:c r="N21" s="37" t="n">
        <x:f>AVERAGE('Runs'!$M$26:$M$26)</x:f>
        <x:v>0.12025598157901068</x:v>
      </x:c>
      <x:c r="O21" s="36" t="n">
        <x:f>AVERAGE('Runs'!$N$26:$N$26)</x:f>
        <x:v>0.39895369921314405</x:v>
      </x:c>
      <x:c r="P21" s="36" t="n">
        <x:f>AVERAGE('Runs'!$O$26:$O$26)</x:f>
        <x:v>0.7295155646900098</x:v>
      </x:c>
      <x:c r="Q21" s="36" t="n">
        <x:f>AVERAGE('Runs'!$P$26:$P$26)</x:f>
        <x:v>0.21946108154449245</x:v>
      </x:c>
      <x:c r="R21" s="46" t="str">
        <x:v>Fast, interpretable classical baseline</x:v>
      </x:c>
    </x:row>
    <x:row r="22">
      <x:c r="A22" s="45" t="str">
        <x:v>Binary Low/High</x:v>
      </x:c>
      <x:c r="B22" s="46" t="str">
        <x:v>Linear SVM</x:v>
      </x:c>
      <x:c r="C22" s="46" t="str">
        <x:v>Linear SVM</x:v>
      </x:c>
      <x:c r="D22" s="46" t="str">
        <x:v>364 blendshape + 84 behaviour statistics</x:v>
      </x:c>
      <x:c r="E22" s="34" t="str">
        <x:v>1729</x:v>
      </x:c>
      <x:c r="F22" s="35" t="n">
        <x:v>1</x:v>
      </x:c>
      <x:c r="G22" s="36" t="n">
        <x:f>AVERAGE('Runs'!$F$27:$F$27)</x:f>
        <x:v>0.5502104089079503</x:v>
      </x:c>
      <x:c r="H22" s="36" t="n">
        <x:f>AVERAGE('Runs'!$G$27:$G$27)</x:f>
        <x:v>0.5531340691510239</x:v>
      </x:c>
      <x:c r="I22" s="36" t="n">
        <x:f>AVERAGE('Runs'!$H$27:$H$27)</x:f>
        <x:v>0.10273123517477856</x:v>
      </x:c>
      <x:c r="J22" s="36" t="n">
        <x:f>AVERAGE('Runs'!$I$27:$I$27)</x:f>
        <x:v>0.5487886520065655</x:v>
      </x:c>
      <x:c r="K22" s="36" t="n">
        <x:f>AVERAGE('Runs'!$J$27:$J$27)</x:f>
        <x:v>0.559315450286329</x:v>
      </x:c>
      <x:c r="L22" s="36" t="n">
        <x:f>AVERAGE('Runs'!$K$27:$K$27)</x:f>
        <x:v>0.8351299936588459</x:v>
      </x:c>
      <x:c r="M22" s="37" t="n">
        <x:f>AVERAGE('Runs'!$L$27:$L$27)</x:f>
        <x:v>0.1648700063411541</x:v>
      </x:c>
      <x:c r="N22" s="37" t="n">
        <x:f>AVERAGE('Runs'!$M$27:$M$27)</x:f>
        <x:v>0.10837864159506091</x:v>
      </x:c>
      <x:c r="O22" s="36" t="n">
        <x:f>AVERAGE('Runs'!$N$27:$N$27)</x:f>
        <x:v>0.4060419503989238</x:v>
      </x:c>
      <x:c r="P22" s="36" t="n">
        <x:f>AVERAGE('Runs'!$O$27:$O$27)</x:f>
        <x:v>0.7125889501737341</x:v>
      </x:c>
      <x:c r="Q22" s="36" t="n">
        <x:f>AVERAGE('Runs'!$P$27:$P$27)</x:f>
        <x:v>0.21673409494578735</x:v>
      </x:c>
      <x:c r="R22" s="46" t="str">
        <x:v>Fast baseline; weaker than logistic regression</x:v>
      </x:c>
    </x:row>
    <x:row r="23">
      <x:c r="A23" s="45" t="str">
        <x:v>Binary Low/High</x:v>
      </x:c>
      <x:c r="B23" s="46" t="str">
        <x:v>Random Forest</x:v>
      </x:c>
      <x:c r="C23" s="46" t="str">
        <x:v>Random Forest</x:v>
      </x:c>
      <x:c r="D23" s="46" t="str">
        <x:v>364 blendshape + 84 behaviour statistics</x:v>
      </x:c>
      <x:c r="E23" s="34" t="str">
        <x:v>1729, 42</x:v>
      </x:c>
      <x:c r="F23" s="35" t="n">
        <x:v>2</x:v>
      </x:c>
      <x:c r="G23" s="36" t="n">
        <x:f>AVERAGE('Runs'!$F$28:$F$29)</x:f>
        <x:v>0.5792811778590374</x:v>
      </x:c>
      <x:c r="H23" s="36" t="n">
        <x:f>AVERAGE('Runs'!$G$28:$G$29)</x:f>
        <x:v>0.5931464070895471</x:v>
      </x:c>
      <x:c r="I23" s="36" t="n">
        <x:f>AVERAGE('Runs'!$H$28:$H$29)</x:f>
        <x:v>0.165076515435182</x:v>
      </x:c>
      <x:c r="J23" s="36" t="n">
        <x:f>AVERAGE('Runs'!$I$28:$I$29)</x:f>
        <x:v>0.5630937335209504</x:v>
      </x:c>
      <x:c r="K23" s="36" t="n">
        <x:f>AVERAGE('Runs'!$J$28:$J$29)</x:f>
        <x:v>0.585732761760251</x:v>
      </x:c>
      <x:c r="L23" s="36" t="n">
        <x:f>AVERAGE('Runs'!$K$28:$K$29)</x:f>
        <x:v>0.8188015218769816</x:v>
      </x:c>
      <x:c r="M23" s="37" t="n">
        <x:f>AVERAGE('Runs'!$L$28:$L$29)</x:f>
        <x:v>0.1811984781230184</x:v>
      </x:c>
      <x:c r="N23" s="37" t="n">
        <x:f>AVERAGE('Runs'!$M$28:$M$29)</x:f>
        <x:v>0.13329277037987797</x:v>
      </x:c>
      <x:c r="O23" s="36" t="n">
        <x:f>AVERAGE('Runs'!$N$28:$N$29)</x:f>
        <x:v>0.4258490486170539</x:v>
      </x:c>
      <x:c r="P23" s="36" t="n">
        <x:f>AVERAGE('Runs'!$O$28:$O$29)</x:f>
        <x:v>0.7456164749034482</x:v>
      </x:c>
      <x:c r="Q23" s="36" t="n">
        <x:f>AVERAGE('Runs'!$P$28:$P$29)</x:f>
        <x:v>0.2985711303529215</x:v>
      </x:c>
      <x:c r="R23" s="46" t="str">
        <x:v>Best classical intervention-oriented trade-off</x:v>
      </x:c>
    </x:row>
    <x:row r="24">
      <x:c r="A24" s="47" t="str">
        <x:v>Binary Low/High</x:v>
      </x:c>
      <x:c r="B24" s="48" t="str">
        <x:v>Extra Trees</x:v>
      </x:c>
      <x:c r="C24" s="48" t="str">
        <x:v>Extra Trees</x:v>
      </x:c>
      <x:c r="D24" s="48" t="str">
        <x:v>364 blendshape + 84 behaviour statistics</x:v>
      </x:c>
      <x:c r="E24" s="39" t="str">
        <x:v>1729, 42</x:v>
      </x:c>
      <x:c r="F24" s="40" t="n">
        <x:v>2</x:v>
      </x:c>
      <x:c r="G24" s="41" t="n">
        <x:f>AVERAGE('Runs'!$F$30:$F$31)</x:f>
        <x:v>0.5880656071124766</x:v>
      </x:c>
      <x:c r="H24" s="41" t="n">
        <x:f>AVERAGE('Runs'!$G$30:$G$31)</x:f>
        <x:v>0.5905147818516863</x:v>
      </x:c>
      <x:c r="I24" s="41" t="n">
        <x:f>AVERAGE('Runs'!$H$30:$H$31)</x:f>
        <x:v>0.17745978823624642</x:v>
      </x:c>
      <x:c r="J24" s="41" t="n">
        <x:f>AVERAGE('Runs'!$I$30:$I$31)</x:f>
        <x:v>0.5671528000280591</x:v>
      </x:c>
      <x:c r="K24" s="41" t="n">
        <x:f>AVERAGE('Runs'!$J$30:$J$31)</x:f>
        <x:v>0.5781899832554673</x:v>
      </x:c>
      <x:c r="L24" s="41" t="n">
        <x:f>AVERAGE('Runs'!$K$30:$K$31)</x:f>
        <x:v>0.8408370323398858</x:v>
      </x:c>
      <x:c r="M24" s="42" t="n">
        <x:f>AVERAGE('Runs'!$L$30:$L$31)</x:f>
        <x:v>0.15916296766011415</x:v>
      </x:c>
      <x:c r="N24" s="42" t="n">
        <x:f>AVERAGE('Runs'!$M$30:$M$31)</x:f>
        <x:v>0.13772723245417906</x:v>
      </x:c>
      <x:c r="O24" s="41" t="n">
        <x:f>AVERAGE('Runs'!$N$30:$N$31)</x:f>
        <x:v>0.39119970093110873</x:v>
      </x:c>
      <x:c r="P24" s="41" t="n">
        <x:f>AVERAGE('Runs'!$O$30:$O$31)</x:f>
        <x:v>0.765180265579826</x:v>
      </x:c>
      <x:c r="Q24" s="41" t="n">
        <x:f>AVERAGE('Runs'!$P$30:$P$31)</x:f>
        <x:v>0.25027976455783196</x:v>
      </x:c>
      <x:c r="R24" s="48" t="str">
        <x:v>Best classical overall macro-F1 and kappa</x:v>
      </x:c>
    </x:row>
    <x:row r="27" ht="32" customHeight="1">
      <x:c r="A27" s="15" t="str">
        <x:v>Binary model</x:v>
      </x:c>
      <x:c r="B27" s="16" t="str">
        <x:v>Macro-F1</x:v>
      </x:c>
      <x:c r="C27" s="16" t="str">
        <x:v>Balanced accuracy</x:v>
      </x:c>
      <x:c r="D27" s="17" t="str">
        <x:v>Problem recall</x:v>
      </x:c>
    </x:row>
    <x:row r="28">
      <x:c r="A28" t="str">
        <x:f>B15</x:f>
        <x:v>Collapsed 4-class XGBoost</x:v>
      </x:c>
      <x:c r="B28" s="49" t="n">
        <x:f>J15</x:f>
        <x:v>0.5555858036218436</x:v>
      </x:c>
      <x:c r="C28" s="49" t="n">
        <x:f>K15</x:f>
        <x:v>0.5715120342672161</x:v>
      </x:c>
      <x:c r="D28" s="49" t="n">
        <x:f>Q15</x:f>
        <x:v>0.2809315728232131</x:v>
      </x:c>
    </x:row>
    <x:row r="29">
      <x:c r="A29" t="str">
        <x:f>B16</x:f>
        <x:v>Direct binary XGBoost</x:v>
      </x:c>
      <x:c r="B29" s="49" t="n">
        <x:f>J16</x:f>
        <x:v>0.5479283819942012</x:v>
      </x:c>
      <x:c r="C29" s="49" t="n">
        <x:f>K16</x:f>
        <x:v>0.5549484216851033</x:v>
      </x:c>
      <x:c r="D29" s="49" t="n">
        <x:f>Q16</x:f>
        <x:v>0.22207961131113246</x:v>
      </x:c>
    </x:row>
    <x:row r="30">
      <x:c r="A30" t="str">
        <x:f>B17</x:f>
        <x:v>Binary TCN</x:v>
      </x:c>
      <x:c r="B30" s="49" t="n">
        <x:f>J17</x:f>
        <x:v>0.5485785530369935</x:v>
      </x:c>
      <x:c r="C30" s="49" t="n">
        <x:f>K17</x:f>
        <x:v>0.5746133706556282</x:v>
      </x:c>
      <x:c r="D30" s="49" t="n">
        <x:f>Q17</x:f>
        <x:v>0.3115308402266138</x:v>
      </x:c>
    </x:row>
    <x:row r="31">
      <x:c r="A31" t="str">
        <x:f>B18</x:f>
        <x:v>Binary BiLSTM</x:v>
      </x:c>
      <x:c r="B31" s="49" t="n">
        <x:f>J18</x:f>
        <x:v>0.5544481863549764</x:v>
      </x:c>
      <x:c r="C31" s="49" t="n">
        <x:f>K18</x:f>
        <x:v>0.5741079157524032</x:v>
      </x:c>
      <x:c r="D31" s="49" t="n">
        <x:f>Q18</x:f>
        <x:v>0.3010133317105948</x:v>
      </x:c>
    </x:row>
    <x:row r="32">
      <x:c r="A32" t="str">
        <x:f>B19</x:f>
        <x:v>Binary TCN + behaviour</x:v>
      </x:c>
      <x:c r="B32" s="49" t="n">
        <x:f>J19</x:f>
        <x:v>0.5538957749108162</x:v>
      </x:c>
      <x:c r="C32" s="49" t="n">
        <x:f>K19</x:f>
        <x:v>0.5699965879209512</x:v>
      </x:c>
      <x:c r="D32" s="49" t="n">
        <x:f>Q19</x:f>
        <x:v>0.2737533727572826</x:v>
      </x:c>
    </x:row>
    <x:row r="33">
      <x:c r="A33" t="str">
        <x:f>B20</x:f>
        <x:v>Combined-feature XGBoost</x:v>
      </x:c>
      <x:c r="B33" s="49" t="n">
        <x:f>J20</x:f>
        <x:v>0.5595585704176254</x:v>
      </x:c>
      <x:c r="C33" s="49" t="n">
        <x:f>K20</x:f>
        <x:v>0.5710782803268698</x:v>
      </x:c>
      <x:c r="D33" s="49" t="n">
        <x:f>Q20</x:f>
        <x:v>0.2553376411131019</x:v>
      </x:c>
    </x:row>
    <x:row r="34">
      <x:c r="A34" t="str">
        <x:f>B21</x:f>
        <x:v>Logistic Regression</x:v>
      </x:c>
      <x:c r="B34" s="49" t="n">
        <x:f>J21</x:f>
        <x:v>0.5573433145673867</x:v>
      </x:c>
      <x:c r="C34" s="49" t="n">
        <x:f>K21</x:f>
        <x:v>0.564234631951577</x:v>
      </x:c>
      <x:c r="D34" s="49" t="n">
        <x:f>Q21</x:f>
        <x:v>0.21946108154449245</x:v>
      </x:c>
    </x:row>
    <x:row r="35">
      <x:c r="A35" t="str">
        <x:f>B22</x:f>
        <x:v>Linear SVM</x:v>
      </x:c>
      <x:c r="B35" s="49" t="n">
        <x:f>J22</x:f>
        <x:v>0.5487886520065655</x:v>
      </x:c>
      <x:c r="C35" s="49" t="n">
        <x:f>K22</x:f>
        <x:v>0.559315450286329</x:v>
      </x:c>
      <x:c r="D35" s="49" t="n">
        <x:f>Q22</x:f>
        <x:v>0.21673409494578735</x:v>
      </x:c>
    </x:row>
    <x:row r="36">
      <x:c r="A36" t="str">
        <x:f>B23</x:f>
        <x:v>Random Forest</x:v>
      </x:c>
      <x:c r="B36" s="49" t="n">
        <x:f>J23</x:f>
        <x:v>0.5630937335209504</x:v>
      </x:c>
      <x:c r="C36" s="49" t="n">
        <x:f>K23</x:f>
        <x:v>0.585732761760251</x:v>
      </x:c>
      <x:c r="D36" s="49" t="n">
        <x:f>Q23</x:f>
        <x:v>0.2985711303529215</x:v>
      </x:c>
    </x:row>
    <x:row r="37">
      <x:c r="A37" t="str">
        <x:f>B24</x:f>
        <x:v>Extra Trees</x:v>
      </x:c>
      <x:c r="B37" s="49" t="n">
        <x:f>J24</x:f>
        <x:v>0.5671528000280591</x:v>
      </x:c>
      <x:c r="C37" s="49" t="n">
        <x:f>K24</x:f>
        <x:v>0.5781899832554673</x:v>
      </x:c>
      <x:c r="D37" s="49" t="n">
        <x:f>Q24</x:f>
        <x:v>0.25027976455783196</x:v>
      </x:c>
    </x:row>
    <x:row r="48" ht="32" customHeight="1">
      <x:c r="A48" s="15" t="str">
        <x:v>Four-label model</x:v>
      </x:c>
      <x:c r="B48" s="16" t="str">
        <x:v>Macro-F1</x:v>
      </x:c>
      <x:c r="C48" s="16" t="str">
        <x:v>Balanced accuracy</x:v>
      </x:c>
      <x:c r="D48" s="16" t="str">
        <x:v>Accuracy</x:v>
      </x:c>
      <x:c r="E48" s="17" t="str">
        <x:v>Kappa</x:v>
      </x:c>
    </x:row>
    <x:row r="49">
      <x:c r="A49" t="str">
        <x:f>B5</x:f>
        <x:v>Existing XGBoost</x:v>
      </x:c>
      <x:c r="B49" s="49" t="n">
        <x:f>J5</x:f>
        <x:v>0.29726430640349216</x:v>
      </x:c>
      <x:c r="C49" s="49" t="n">
        <x:f>K5</x:f>
        <x:v>0.31461056154844835</x:v>
      </x:c>
      <x:c r="D49" s="49" t="n">
        <x:f>L5</x:f>
        <x:v>0.5421686746987951</x:v>
      </x:c>
      <x:c r="E49" s="49" t="n">
        <x:f>N5</x:f>
        <x:v>0.14147986062185272</x:v>
      </x:c>
    </x:row>
    <x:row r="50">
      <x:c r="A50" t="str">
        <x:f>B6</x:f>
        <x:v>TCN-CORN</x:v>
      </x:c>
      <x:c r="B50" s="49" t="n">
        <x:f>J6</x:f>
        <x:v>0.2921553063051905</x:v>
      </x:c>
      <x:c r="C50" s="49" t="n">
        <x:f>K6</x:f>
        <x:v>0.300531195549628</x:v>
      </x:c>
      <x:c r="D50" s="49" t="n">
        <x:f>L6</x:f>
        <x:v>0.5514426125554851</x:v>
      </x:c>
      <x:c r="E50" s="49" t="n">
        <x:f>N6</x:f>
        <x:v>0.1572194298655057</x:v>
      </x:c>
    </x:row>
    <x:row r="51">
      <x:c r="A51" t="str">
        <x:f>B7</x:f>
        <x:v>BiLSTM-CORN</x:v>
      </x:c>
      <x:c r="B51" s="49" t="n">
        <x:f>J7</x:f>
        <x:v>0.29394896146364446</x:v>
      </x:c>
      <x:c r="C51" s="49" t="n">
        <x:f>K7</x:f>
        <x:v>0.30539476731389004</x:v>
      </x:c>
      <x:c r="D51" s="49" t="n">
        <x:f>L7</x:f>
        <x:v>0.5168040583386175</x:v>
      </x:c>
      <x:c r="E51" s="49" t="n">
        <x:f>N7</x:f>
        <x:v>0.1619631503423568</x:v>
      </x:c>
    </x:row>
    <x:row r="52">
      <x:c r="A52" t="str">
        <x:f>B8</x:f>
        <x:v>Logistic Regression</x:v>
      </x:c>
      <x:c r="B52" s="49" t="n">
        <x:f>J8</x:f>
        <x:v>0.2621245649618579</x:v>
      </x:c>
      <x:c r="C52" s="49" t="n">
        <x:f>K8</x:f>
        <x:v>0.30991439381410124</x:v>
      </x:c>
      <x:c r="D52" s="49" t="n">
        <x:f>L8</x:f>
        <x:v>0.4086873811033608</x:v>
      </x:c>
      <x:c r="E52" s="49" t="n">
        <x:f>N8</x:f>
        <x:v>0.11422640505039458</x:v>
      </x:c>
    </x:row>
    <x:row r="53">
      <x:c r="A53" t="str">
        <x:f>B9</x:f>
        <x:v>Linear SVM</x:v>
      </x:c>
      <x:c r="B53" s="49" t="n">
        <x:f>J9</x:f>
        <x:v>0.28579748986690645</x:v>
      </x:c>
      <x:c r="C53" s="49" t="n">
        <x:f>K9</x:f>
        <x:v>0.3216299861708891</x:v>
      </x:c>
      <x:c r="D53" s="49" t="n">
        <x:f>L9</x:f>
        <x:v>0.5003170577045022</x:v>
      </x:c>
      <x:c r="E53" s="49" t="n">
        <x:f>N9</x:f>
        <x:v>0.15783755482014414</x:v>
      </x:c>
    </x:row>
    <x:row r="54">
      <x:c r="A54" t="str">
        <x:f>B10</x:f>
        <x:v>Random Forest</x:v>
      </x:c>
      <x:c r="B54" s="49" t="n">
        <x:f>J10</x:f>
        <x:v>0.24067911042619244</x:v>
      </x:c>
      <x:c r="C54" s="49" t="n">
        <x:f>K10</x:f>
        <x:v>0.26770549569811614</x:v>
      </x:c>
      <x:c r="D54" s="49" t="n">
        <x:f>L10</x:f>
        <x:v>0.62071972098922</x:v>
      </x:c>
      <x:c r="E54" s="49" t="n">
        <x:f>N10</x:f>
        <x:v>0.059325292433171584</x:v>
      </x:c>
    </x:row>
    <x:row r="55">
      <x:c r="A55" t="str">
        <x:f>B11</x:f>
        <x:v>Extra Trees</x:v>
      </x:c>
      <x:c r="B55" s="49" t="n">
        <x:f>J11</x:f>
        <x:v>0.2456228966609009</x:v>
      </x:c>
      <x:c r="C55" s="49" t="n">
        <x:f>K11</x:f>
        <x:v>0.2709899960652953</x:v>
      </x:c>
      <x:c r="D55" s="49" t="n">
        <x:f>L11</x:f>
        <x:v>0.6251585288522511</x:v>
      </x:c>
      <x:c r="E55" s="49" t="n">
        <x:f>N11</x:f>
        <x:v>0.07276265610076746</x:v>
      </x:c>
    </x:row>
    <x:row r="56">
      <x:c r="A56" t="str">
        <x:f>B12</x:f>
        <x:v>Retrained combined XGBoost</x:v>
      </x:c>
      <x:c r="B56" s="49" t="n">
        <x:f>J12</x:f>
        <x:v>0.2878868157141318</x:v>
      </x:c>
      <x:c r="C56" s="49" t="n">
        <x:f>K12</x:f>
        <x:v>0.2901842010599659</x:v>
      </x:c>
      <x:c r="D56" s="49" t="n">
        <x:f>L12</x:f>
        <x:v>0.5773620798985415</x:v>
      </x:c>
      <x:c r="E56" s="49" t="n">
        <x:f>N12</x:f>
        <x:v>0.1326805897738637</x:v>
      </x:c>
    </x:row>
    <x:row r="57">
      <x:c r="A57" t="str">
        <x:f>B13</x:f>
        <x:v>Full temporal XGBoost</x:v>
      </x:c>
      <x:c r="B57" s="49" t="n">
        <x:f>J13</x:f>
        <x:v>0.28661246387706973</x:v>
      </x:c>
      <x:c r="C57" s="49" t="n">
        <x:f>K13</x:f>
        <x:v>0.2897969458431462</x:v>
      </x:c>
      <x:c r="D57" s="49" t="n">
        <x:f>L13</x:f>
        <x:v>0.588142041851617</x:v>
      </x:c>
      <x:c r="E57" s="49" t="n">
        <x:f>N13</x:f>
        <x:v>0.12923246214329848</x:v>
      </x:c>
    </x:row>
    <x:row r="58">
      <x:c r="A58" t="str">
        <x:f>B14</x:f>
        <x:v>Selected temporal XGBoost</x:v>
      </x:c>
      <x:c r="B58" s="49" t="n">
        <x:f>J14</x:f>
        <x:v>0.29348505909909467</x:v>
      </x:c>
      <x:c r="C58" s="49" t="n">
        <x:f>K14</x:f>
        <x:v>0.29542654379687405</x:v>
      </x:c>
      <x:c r="D58" s="49" t="n">
        <x:f>L14</x:f>
        <x:v>0.5821179454660748</x:v>
      </x:c>
      <x:c r="E58" s="49" t="n">
        <x:f>N14</x:f>
        <x:v>0.13982797256121818</x:v>
      </x:c>
    </x:row>
  </x:sheetData>
  <x:mergeCells>
    <x:mergeCell ref="A1:R1"/>
    <x:mergeCell ref="A2:R2"/>
  </x:mergeCells>
  <x:conditionalFormatting sqref="G5:Q24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0d8e550f9f624f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34" hidden="0" customWidth="1"/>
    <x:col min="5" max="5" width="1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4" hidden="0" customWidth="1"/>
    <x:col min="18" max="18" width="14" hidden="0" customWidth="1"/>
    <x:col min="19" max="19" width="52" hidden="0" customWidth="1"/>
    <x:col min="20" max="20" width="40" hidden="0" customWidth="1"/>
  </x:cols>
  <x:sheetData>
    <x:row r="1" ht="32" customHeight="1">
      <x:c r="A1" s="15" t="str">
        <x:v>Target</x:v>
      </x:c>
      <x:c r="B1" s="16" t="str">
        <x:v>Model group</x:v>
      </x:c>
      <x:c r="C1" s="16" t="str">
        <x:v>Architecture</x:v>
      </x:c>
      <x:c r="D1" s="16" t="str">
        <x:v>Inputs</x:v>
      </x:c>
      <x:c r="E1" s="16" t="str">
        <x:v>Seed</x:v>
      </x:c>
      <x:c r="F1" s="16" t="str">
        <x:v>Validation macro-F1</x:v>
      </x:c>
      <x:c r="G1" s="16" t="str">
        <x:v>Validation balanced accuracy</x:v>
      </x:c>
      <x:c r="H1" s="16" t="str">
        <x:v>Validation kappa</x:v>
      </x:c>
      <x:c r="I1" s="16" t="str">
        <x:v>Test macro-F1</x:v>
      </x:c>
      <x:c r="J1" s="16" t="str">
        <x:v>Test balanced accuracy</x:v>
      </x:c>
      <x:c r="K1" s="16" t="str">
        <x:v>Test accuracy</x:v>
      </x:c>
      <x:c r="L1" s="16" t="str">
        <x:v>Test MAE</x:v>
      </x:c>
      <x:c r="M1" s="16" t="str">
        <x:v>Test kappa</x:v>
      </x:c>
      <x:c r="N1" s="16" t="str">
        <x:v>Test high recall</x:v>
      </x:c>
      <x:c r="O1" s="16" t="str">
        <x:v>Test low recall</x:v>
      </x:c>
      <x:c r="P1" s="16" t="str">
        <x:v>OELM problem recall</x:v>
      </x:c>
      <x:c r="Q1" s="16" t="str">
        <x:v>Parameters</x:v>
      </x:c>
      <x:c r="R1" s="16" t="str">
        <x:v>Training seconds</x:v>
      </x:c>
      <x:c r="S1" s="16" t="str">
        <x:v>Source metrics JSON</x:v>
      </x:c>
      <x:c r="T1" s="17" t="str">
        <x:v>Recommended use</x:v>
      </x:c>
    </x:row>
    <x:row r="2">
      <x:c r="A2" s="54" t="str">
        <x:v>Ordinal 4-level</x:v>
      </x:c>
      <x:c r="B2" s="54" t="str">
        <x:v>Existing XGBoost</x:v>
      </x:c>
      <x:c r="C2" s="54" t="str">
        <x:v>XGBoost</x:v>
      </x:c>
      <x:c r="D2" s="54" t="str">
        <x:v>364 blendshape statistics</x:v>
      </x:c>
      <x:c r="E2" s="54" t="str">
        <x:v>N/A</x:v>
      </x:c>
      <x:c r="F2" s="55"/>
      <x:c r="G2" s="55"/>
      <x:c r="H2" s="55"/>
      <x:c r="I2" s="55" t="n">
        <x:v>0.29726430640349216</x:v>
      </x:c>
      <x:c r="J2" s="55" t="n">
        <x:v>0.31461056154844835</x:v>
      </x:c>
      <x:c r="K2" s="55" t="n">
        <x:v>0.5421686746987951</x:v>
      </x:c>
      <x:c r="L2" s="56" t="n">
        <x:v>0.5998731769181991</x:v>
      </x:c>
      <x:c r="M2" s="56" t="n">
        <x:v>0.14147986062185272</x:v>
      </x:c>
      <x:c r="N2" s="55"/>
      <x:c r="O2" s="55"/>
      <x:c r="P2" s="55"/>
      <x:c r="Q2" s="57"/>
      <x:c r="R2" s="58"/>
      <x:c r="S2" s="54" t="str">
        <x:v>ml/artifacts/model/xgboost_baseline_metrics.json</x:v>
      </x:c>
      <x:c r="T2" s="54" t="str">
        <x:v>Keep for 4-level severity display</x:v>
      </x:c>
    </x:row>
    <x:row r="3">
      <x:c r="A3" s="54" t="str">
        <x:v>Ordinal 4-level</x:v>
      </x:c>
      <x:c r="B3" s="54" t="str">
        <x:v>TCN-CORN</x:v>
      </x:c>
      <x:c r="C3" s="54" t="str">
        <x:v>TCN-CORN</x:v>
      </x:c>
      <x:c r="D3" s="54" t="str">
        <x:v>52 blendshapes + temporal deltas</x:v>
      </x:c>
      <x:c r="E3" s="54" t="n">
        <x:v>1729</x:v>
      </x:c>
      <x:c r="F3" s="55" t="n">
        <x:v>0.2927279555184512</x:v>
      </x:c>
      <x:c r="G3" s="55" t="n">
        <x:v>0.29882329755597303</x:v>
      </x:c>
      <x:c r="H3" s="55" t="n">
        <x:v>0.15474403331306574</x:v>
      </x:c>
      <x:c r="I3" s="55" t="n">
        <x:v>0.29433232999271824</x:v>
      </x:c>
      <x:c r="J3" s="55" t="n">
        <x:v>0.30142143552303324</x:v>
      </x:c>
      <x:c r="K3" s="55" t="n">
        <x:v>0.5692771084337349</x:v>
      </x:c>
      <x:c r="L3" s="56" t="n">
        <x:v>0.5447051363348129</x:v>
      </x:c>
      <x:c r="M3" s="56" t="n">
        <x:v>0.15340325864760473</x:v>
      </x:c>
      <x:c r="N3" s="55"/>
      <x:c r="O3" s="55"/>
      <x:c r="P3" s="55"/>
      <x:c r="Q3" s="57" t="n">
        <x:v>179149</x:v>
      </x:c>
      <x:c r="R3" s="58" t="n">
        <x:v>77.25091850000899</x:v>
      </x:c>
      <x:c r="S3" s="54" t="str">
        <x:v>ml/artifacts/model/metrics.json</x:v>
      </x:c>
      <x:c r="T3" s="54" t="str">
        <x:v>Best temporal ordinal challenger</x:v>
      </x:c>
    </x:row>
    <x:row r="4">
      <x:c r="A4" s="54" t="str">
        <x:v>Ordinal 4-level</x:v>
      </x:c>
      <x:c r="B4" s="54" t="str">
        <x:v>TCN-CORN</x:v>
      </x:c>
      <x:c r="C4" s="54" t="str">
        <x:v>TCN-CORN</x:v>
      </x:c>
      <x:c r="D4" s="54" t="str">
        <x:v>52 blendshapes + temporal deltas</x:v>
      </x:c>
      <x:c r="E4" s="54" t="n">
        <x:v>42</x:v>
      </x:c>
      <x:c r="F4" s="55" t="n">
        <x:v>0.28552429251794664</x:v>
      </x:c>
      <x:c r="G4" s="55" t="n">
        <x:v>0.2918992184360762</x:v>
      </x:c>
      <x:c r="H4" s="55" t="n">
        <x:v>0.12893672671135</x:v>
      </x:c>
      <x:c r="I4" s="55" t="n">
        <x:v>0.28997828261766273</x:v>
      </x:c>
      <x:c r="J4" s="55" t="n">
        <x:v>0.2996409555762227</x:v>
      </x:c>
      <x:c r="K4" s="55" t="n">
        <x:v>0.5336081166772353</x:v>
      </x:c>
      <x:c r="L4" s="56" t="n">
        <x:v>0.5844958782498415</x:v>
      </x:c>
      <x:c r="M4" s="56" t="n">
        <x:v>0.16103560108340664</x:v>
      </x:c>
      <x:c r="N4" s="55"/>
      <x:c r="O4" s="55"/>
      <x:c r="P4" s="55"/>
      <x:c r="Q4" s="57" t="n">
        <x:v>179149</x:v>
      </x:c>
      <x:c r="R4" s="58" t="n">
        <x:v>100.76833710004576</x:v>
      </x:c>
      <x:c r="S4" s="54" t="str">
        <x:v>ml/artifacts/model-seed42/metrics.json</x:v>
      </x:c>
      <x:c r="T4" s="54" t="str">
        <x:v>Research challenger; seed robustness</x:v>
      </x:c>
    </x:row>
    <x:row r="5">
      <x:c r="A5" s="54" t="str">
        <x:v>Ordinal 4-level</x:v>
      </x:c>
      <x:c r="B5" s="54" t="str">
        <x:v>BiLSTM-CORN</x:v>
      </x:c>
      <x:c r="C5" s="54" t="str">
        <x:v>BiLSTM-CORN</x:v>
      </x:c>
      <x:c r="D5" s="54" t="str">
        <x:v>52 blendshapes + temporal deltas</x:v>
      </x:c>
      <x:c r="E5" s="54" t="n">
        <x:v>1729</x:v>
      </x:c>
      <x:c r="F5" s="55" t="n">
        <x:v>0.2952554502415772</x:v>
      </x:c>
      <x:c r="G5" s="55" t="n">
        <x:v>0.30620153481513673</x:v>
      </x:c>
      <x:c r="H5" s="55" t="n">
        <x:v>0.15226837871528803</x:v>
      </x:c>
      <x:c r="I5" s="55" t="n">
        <x:v>0.29394896146364446</x:v>
      </x:c>
      <x:c r="J5" s="55" t="n">
        <x:v>0.30539476731389004</x:v>
      </x:c>
      <x:c r="K5" s="55" t="n">
        <x:v>0.5168040583386175</x:v>
      </x:c>
      <x:c r="L5" s="56" t="n">
        <x:v>0.6147748890298035</x:v>
      </x:c>
      <x:c r="M5" s="56" t="n">
        <x:v>0.1619631503423568</x:v>
      </x:c>
      <x:c r="N5" s="55"/>
      <x:c r="O5" s="55"/>
      <x:c r="P5" s="55"/>
      <x:c r="Q5" s="57" t="n">
        <x:v>189277</x:v>
      </x:c>
      <x:c r="R5" s="58" t="n">
        <x:v>199.24869480007328</x:v>
      </x:c>
      <x:c r="S5" s="54" t="str">
        <x:v>ml/artifacts/model-lstm/metrics.json</x:v>
      </x:c>
      <x:c r="T5" s="54" t="str">
        <x:v>Do not promote over existing XGBoost</x:v>
      </x:c>
    </x:row>
    <x:row r="6">
      <x:c r="A6" s="54" t="str">
        <x:v>Ordinal 4-level</x:v>
      </x:c>
      <x:c r="B6" s="54" t="str">
        <x:v>Logistic Regression</x:v>
      </x:c>
      <x:c r="C6" s="54" t="str">
        <x:v>Logistic Regression</x:v>
      </x:c>
      <x:c r="D6" s="54" t="str">
        <x:v>364 blendshape + 84 behaviour statistics</x:v>
      </x:c>
      <x:c r="E6" s="54" t="n">
        <x:v>1729</x:v>
      </x:c>
      <x:c r="F6" s="55" t="n">
        <x:v>0.2588938919810866</x:v>
      </x:c>
      <x:c r="G6" s="55" t="n">
        <x:v>0.28597873437337024</x:v>
      </x:c>
      <x:c r="H6" s="55" t="n">
        <x:v>0.07517015782646869</x:v>
      </x:c>
      <x:c r="I6" s="55" t="n">
        <x:v>0.2621245649618579</x:v>
      </x:c>
      <x:c r="J6" s="55" t="n">
        <x:v>0.30991439381410124</x:v>
      </x:c>
      <x:c r="K6" s="55" t="n">
        <x:v>0.4086873811033608</x:v>
      </x:c>
      <x:c r="L6" s="56" t="n">
        <x:v>0.8275206087507927</x:v>
      </x:c>
      <x:c r="M6" s="56" t="n">
        <x:v>0.11422640505039458</x:v>
      </x:c>
      <x:c r="N6" s="55"/>
      <x:c r="O6" s="55"/>
      <x:c r="P6" s="55"/>
      <x:c r="Q6" s="57"/>
      <x:c r="R6" s="58" t="n">
        <x:v>15.162505000131205</x:v>
      </x:c>
      <x:c r="S6" s="54" t="str">
        <x:v>ml/artifacts/model-classical-ordinal-logistic_regression-seed1729/metrics.json</x:v>
      </x:c>
      <x:c r="T6" s="54" t="str">
        <x:v>Fast baseline; weak exact-level discrimination</x:v>
      </x:c>
    </x:row>
    <x:row r="7">
      <x:c r="A7" s="54" t="str">
        <x:v>Ordinal 4-level</x:v>
      </x:c>
      <x:c r="B7" s="54" t="str">
        <x:v>Linear SVM</x:v>
      </x:c>
      <x:c r="C7" s="54" t="str">
        <x:v>Linear SVM</x:v>
      </x:c>
      <x:c r="D7" s="54" t="str">
        <x:v>364 blendshape + 84 behaviour statistics</x:v>
      </x:c>
      <x:c r="E7" s="54" t="n">
        <x:v>1729</x:v>
      </x:c>
      <x:c r="F7" s="55" t="n">
        <x:v>0.2751424131352945</x:v>
      </x:c>
      <x:c r="G7" s="55" t="n">
        <x:v>0.286255884193918</x:v>
      </x:c>
      <x:c r="H7" s="55" t="n">
        <x:v>0.08930690797718879</x:v>
      </x:c>
      <x:c r="I7" s="55" t="n">
        <x:v>0.28579748986690645</x:v>
      </x:c>
      <x:c r="J7" s="55" t="n">
        <x:v>0.3216299861708891</x:v>
      </x:c>
      <x:c r="K7" s="55" t="n">
        <x:v>0.5003170577045022</x:v>
      </x:c>
      <x:c r="L7" s="56" t="n">
        <x:v>0.6926125554850983</x:v>
      </x:c>
      <x:c r="M7" s="56" t="n">
        <x:v>0.15783755482014414</x:v>
      </x:c>
      <x:c r="N7" s="55"/>
      <x:c r="O7" s="55"/>
      <x:c r="P7" s="55"/>
      <x:c r="Q7" s="57"/>
      <x:c r="R7" s="58" t="n">
        <x:v>276.04397629993036</x:v>
      </x:c>
      <x:c r="S7" s="54" t="str">
        <x:v>ml/artifacts/model-classical-ordinal-linear_svm-seed1729/metrics.json</x:v>
      </x:c>
      <x:c r="T7" s="54" t="str">
        <x:v>Best classical 4-level class balance</x:v>
      </x:c>
    </x:row>
    <x:row r="8">
      <x:c r="A8" s="54" t="str">
        <x:v>Ordinal 4-level</x:v>
      </x:c>
      <x:c r="B8" s="54" t="str">
        <x:v>Random Forest</x:v>
      </x:c>
      <x:c r="C8" s="54" t="str">
        <x:v>Random Forest</x:v>
      </x:c>
      <x:c r="D8" s="54" t="str">
        <x:v>364 blendshape + 84 behaviour statistics</x:v>
      </x:c>
      <x:c r="E8" s="54" t="n">
        <x:v>1729</x:v>
      </x:c>
      <x:c r="F8" s="55" t="n">
        <x:v>0.25117591891645513</x:v>
      </x:c>
      <x:c r="G8" s="55" t="n">
        <x:v>0.2788396781097074</x:v>
      </x:c>
      <x:c r="H8" s="55" t="n">
        <x:v>0.08352685137179633</x:v>
      </x:c>
      <x:c r="I8" s="55" t="n">
        <x:v>0.24088963438376082</x:v>
      </x:c>
      <x:c r="J8" s="55" t="n">
        <x:v>0.26821068721413455</x:v>
      </x:c>
      <x:c r="K8" s="55" t="n">
        <x:v>0.62143310082435</x:v>
      </x:c>
      <x:c r="L8" s="56" t="n">
        <x:v>0.46940393151553583</x:v>
      </x:c>
      <x:c r="M8" s="56" t="n">
        <x:v>0.06246243100812371</x:v>
      </x:c>
      <x:c r="N8" s="55"/>
      <x:c r="O8" s="55"/>
      <x:c r="P8" s="55"/>
      <x:c r="Q8" s="57"/>
      <x:c r="R8" s="58" t="n">
        <x:v>131.05299400002696</x:v>
      </x:c>
      <x:c r="S8" s="54" t="str">
        <x:v>ml/artifacts/model-classical-ordinal-random_forest-seed1729/metrics.json</x:v>
      </x:c>
      <x:c r="T8" s="54" t="str">
        <x:v>Majority-dominated; low MAE but weak macro-F1</x:v>
      </x:c>
    </x:row>
    <x:row r="9">
      <x:c r="A9" s="54" t="str">
        <x:v>Ordinal 4-level</x:v>
      </x:c>
      <x:c r="B9" s="54" t="str">
        <x:v>Random Forest</x:v>
      </x:c>
      <x:c r="C9" s="54" t="str">
        <x:v>Random Forest</x:v>
      </x:c>
      <x:c r="D9" s="54" t="str">
        <x:v>364 blendshape + 84 behaviour statistics</x:v>
      </x:c>
      <x:c r="E9" s="54" t="n">
        <x:v>42</x:v>
      </x:c>
      <x:c r="F9" s="55" t="n">
        <x:v>0.25152594275654816</x:v>
      </x:c>
      <x:c r="G9" s="55" t="n">
        <x:v>0.2790713221735148</x:v>
      </x:c>
      <x:c r="H9" s="55" t="n">
        <x:v>0.08548783319085873</x:v>
      </x:c>
      <x:c r="I9" s="55" t="n">
        <x:v>0.24046858646862407</x:v>
      </x:c>
      <x:c r="J9" s="55" t="n">
        <x:v>0.2672003041820977</x:v>
      </x:c>
      <x:c r="K9" s="55" t="n">
        <x:v>0.62000634115409</x:v>
      </x:c>
      <x:c r="L9" s="56" t="n">
        <x:v>0.47305009511731133</x:v>
      </x:c>
      <x:c r="M9" s="56" t="n">
        <x:v>0.05618815385821946</x:v>
      </x:c>
      <x:c r="N9" s="55"/>
      <x:c r="O9" s="55"/>
      <x:c r="P9" s="55"/>
      <x:c r="Q9" s="57"/>
      <x:c r="R9" s="58" t="n">
        <x:v>132.24304339988157</x:v>
      </x:c>
      <x:c r="S9" s="54" t="str">
        <x:v>ml/artifacts/model-classical-ordinal-random_forest-seed42/metrics.json</x:v>
      </x:c>
      <x:c r="T9" s="54" t="str">
        <x:v>Majority-dominated; low MAE but weak macro-F1</x:v>
      </x:c>
    </x:row>
    <x:row r="10">
      <x:c r="A10" s="54" t="str">
        <x:v>Ordinal 4-level</x:v>
      </x:c>
      <x:c r="B10" s="54" t="str">
        <x:v>Extra Trees</x:v>
      </x:c>
      <x:c r="C10" s="54" t="str">
        <x:v>Extra Trees</x:v>
      </x:c>
      <x:c r="D10" s="54" t="str">
        <x:v>364 blendshape + 84 behaviour statistics</x:v>
      </x:c>
      <x:c r="E10" s="54" t="n">
        <x:v>1729</x:v>
      </x:c>
      <x:c r="F10" s="55" t="n">
        <x:v>0.25552729710412553</x:v>
      </x:c>
      <x:c r="G10" s="55" t="n">
        <x:v>0.28344878513504074</x:v>
      </x:c>
      <x:c r="H10" s="55" t="n">
        <x:v>0.09018684275219668</x:v>
      </x:c>
      <x:c r="I10" s="55" t="n">
        <x:v>0.2442577185815737</x:v>
      </x:c>
      <x:c r="J10" s="55" t="n">
        <x:v>0.270504152596499</x:v>
      </x:c>
      <x:c r="K10" s="55" t="n">
        <x:v>0.62571337983513</x:v>
      </x:c>
      <x:c r="L10" s="56" t="n">
        <x:v>0.46116043119847816</x:v>
      </x:c>
      <x:c r="M10" s="56" t="n">
        <x:v>0.07162724051094557</x:v>
      </x:c>
      <x:c r="N10" s="55"/>
      <x:c r="O10" s="55"/>
      <x:c r="P10" s="55"/>
      <x:c r="Q10" s="57"/>
      <x:c r="R10" s="58" t="n">
        <x:v>58.471109099918976</x:v>
      </x:c>
      <x:c r="S10" s="54" t="str">
        <x:v>ml/artifacts/model-classical-ordinal-extra_trees-seed1729/metrics.json</x:v>
      </x:c>
      <x:c r="T10" s="54" t="str">
        <x:v>Best tree MAE; weak minority-level recall</x:v>
      </x:c>
    </x:row>
    <x:row r="11">
      <x:c r="A11" s="54" t="str">
        <x:v>Ordinal 4-level</x:v>
      </x:c>
      <x:c r="B11" s="54" t="str">
        <x:v>Extra Trees</x:v>
      </x:c>
      <x:c r="C11" s="54" t="str">
        <x:v>Extra Trees</x:v>
      </x:c>
      <x:c r="D11" s="54" t="str">
        <x:v>364 blendshape + 84 behaviour statistics</x:v>
      </x:c>
      <x:c r="E11" s="54" t="n">
        <x:v>42</x:v>
      </x:c>
      <x:c r="F11" s="55" t="n">
        <x:v>0.24918073096033458</x:v>
      </x:c>
      <x:c r="G11" s="55" t="n">
        <x:v>0.2776562279463252</x:v>
      </x:c>
      <x:c r="H11" s="55" t="n">
        <x:v>0.07935631256099271</x:v>
      </x:c>
      <x:c r="I11" s="55" t="n">
        <x:v>0.2469880747402281</x:v>
      </x:c>
      <x:c r="J11" s="55" t="n">
        <x:v>0.2714758395340915</x:v>
      </x:c>
      <x:c r="K11" s="55" t="n">
        <x:v>0.6246036778693722</x:v>
      </x:c>
      <x:c r="L11" s="56" t="n">
        <x:v>0.46068484464172477</x:v>
      </x:c>
      <x:c r="M11" s="56" t="n">
        <x:v>0.07389807169058935</x:v>
      </x:c>
      <x:c r="N11" s="55"/>
      <x:c r="O11" s="55"/>
      <x:c r="P11" s="55"/>
      <x:c r="Q11" s="57"/>
      <x:c r="R11" s="58" t="n">
        <x:v>56.59138259990141</x:v>
      </x:c>
      <x:c r="S11" s="54" t="str">
        <x:v>ml/artifacts/model-classical-ordinal-extra_trees-seed42/metrics.json</x:v>
      </x:c>
      <x:c r="T11" s="54" t="str">
        <x:v>Best tree MAE; weak minority-level recall</x:v>
      </x:c>
    </x:row>
    <x:row r="12">
      <x:c r="A12" s="54" t="str">
        <x:v>Ordinal 4-level</x:v>
      </x:c>
      <x:c r="B12" s="54" t="str">
        <x:v>Retrained combined XGBoost</x:v>
      </x:c>
      <x:c r="C12" s="54" t="str">
        <x:v>XGBoost</x:v>
      </x:c>
      <x:c r="D12" s="54" t="str">
        <x:v>448 blendshape + behaviour statistics</x:v>
      </x:c>
      <x:c r="E12" s="54" t="n">
        <x:v>1729</x:v>
      </x:c>
      <x:c r="F12" s="55" t="n">
        <x:v>0.286711701513117</x:v>
      </x:c>
      <x:c r="G12" s="55" t="n">
        <x:v>0.29063205135263914</x:v>
      </x:c>
      <x:c r="H12" s="55" t="n">
        <x:v>0.13036008464430413</x:v>
      </x:c>
      <x:c r="I12" s="55" t="n">
        <x:v>0.2878868157141318</x:v>
      </x:c>
      <x:c r="J12" s="55" t="n">
        <x:v>0.2901842010599659</x:v>
      </x:c>
      <x:c r="K12" s="55" t="n">
        <x:v>0.5773620798985415</x:v>
      </x:c>
      <x:c r="L12" s="56" t="n">
        <x:v>0.5198161065313888</x:v>
      </x:c>
      <x:c r="M12" s="56" t="n">
        <x:v>0.1326805897738637</x:v>
      </x:c>
      <x:c r="N12" s="55"/>
      <x:c r="O12" s="55"/>
      <x:c r="P12" s="55"/>
      <x:c r="Q12" s="57"/>
      <x:c r="R12" s="58" t="n">
        <x:v>178.92054679989815</x:v>
      </x:c>
      <x:c r="S12" s="54" t="str">
        <x:v>ml/artifacts/model-temporal-xgboost-baseline_combined-seed1729/metrics.json</x:v>
      </x:c>
      <x:c r="T12" s="54" t="str">
        <x:v>Controlled retraining baseline for temporal ablation</x:v>
      </x:c>
    </x:row>
    <x:row r="13">
      <x:c r="A13" s="54" t="str">
        <x:v>Ordinal 4-level</x:v>
      </x:c>
      <x:c r="B13" s="54" t="str">
        <x:v>Full temporal XGBoost</x:v>
      </x:c>
      <x:c r="C13" s="54" t="str">
        <x:v>XGBoost</x:v>
      </x:c>
      <x:c r="D13" s="54" t="str">
        <x:v>1,664 distribution + temporal statistics</x:v>
      </x:c>
      <x:c r="E13" s="54" t="n">
        <x:v>1729</x:v>
      </x:c>
      <x:c r="F13" s="55" t="n">
        <x:v>0.2854391411308093</x:v>
      </x:c>
      <x:c r="G13" s="55" t="n">
        <x:v>0.29058174589769825</x:v>
      </x:c>
      <x:c r="H13" s="55" t="n">
        <x:v>0.11910611535932625</x:v>
      </x:c>
      <x:c r="I13" s="55" t="n">
        <x:v>0.28661246387706973</x:v>
      </x:c>
      <x:c r="J13" s="55" t="n">
        <x:v>0.2897969458431462</x:v>
      </x:c>
      <x:c r="K13" s="55" t="n">
        <x:v>0.588142041851617</x:v>
      </x:c>
      <x:c r="L13" s="56" t="n">
        <x:v>0.49714648065948003</x:v>
      </x:c>
      <x:c r="M13" s="56" t="n">
        <x:v>0.12923246214329848</x:v>
      </x:c>
      <x:c r="N13" s="55"/>
      <x:c r="O13" s="55"/>
      <x:c r="P13" s="55"/>
      <x:c r="Q13" s="57"/>
      <x:c r="R13" s="58" t="n">
        <x:v>674.9162417999469</x:v>
      </x:c>
      <x:c r="S13" s="54" t="str">
        <x:v>ml/artifacts/model-temporal-xgboost-temporal_all-seed1729/metrics.json</x:v>
      </x:c>
      <x:c r="T13" s="54" t="str">
        <x:v>Do not promote; full set adds noise and training cost</x:v>
      </x:c>
    </x:row>
    <x:row r="14">
      <x:c r="A14" s="54" t="str">
        <x:v>Ordinal 4-level</x:v>
      </x:c>
      <x:c r="B14" s="54" t="str">
        <x:v>Selected temporal XGBoost</x:v>
      </x:c>
      <x:c r="C14" s="54" t="str">
        <x:v>XGBoost</x:v>
      </x:c>
      <x:c r="D14" s="54" t="str">
        <x:v>512 task-specific features selected from 1,664</x:v>
      </x:c>
      <x:c r="E14" s="54" t="n">
        <x:v>1729</x:v>
      </x:c>
      <x:c r="F14" s="55" t="n">
        <x:v>0.2939255035147919</x:v>
      </x:c>
      <x:c r="G14" s="55" t="n">
        <x:v>0.2971095260606551</x:v>
      </x:c>
      <x:c r="H14" s="55" t="n">
        <x:v>0.13207300010107834</x:v>
      </x:c>
      <x:c r="I14" s="55" t="n">
        <x:v>0.29513991522262784</x:v>
      </x:c>
      <x:c r="J14" s="55" t="n">
        <x:v>0.29828814631648765</x:v>
      </x:c>
      <x:c r="K14" s="55" t="n">
        <x:v>0.5819594166138237</x:v>
      </x:c>
      <x:c r="L14" s="56" t="n">
        <x:v>0.510145846544071</x:v>
      </x:c>
      <x:c r="M14" s="56" t="n">
        <x:v>0.14571348087206684</x:v>
      </x:c>
      <x:c r="N14" s="55"/>
      <x:c r="O14" s="55"/>
      <x:c r="P14" s="55"/>
      <x:c r="Q14" s="57"/>
      <x:c r="R14" s="58" t="n">
        <x:v>274.1574858999811</x:v>
      </x:c>
      <x:c r="S14" s="54" t="str">
        <x:v>ml/artifacts/model-temporal-xgboost-temporal_select_512-seed1729/metrics.json</x:v>
      </x:c>
      <x:c r="T14" s="54" t="str">
        <x:v>Best four-level accuracy/MAE trade-off</x:v>
      </x:c>
    </x:row>
    <x:row r="15">
      <x:c r="A15" s="54" t="str">
        <x:v>Ordinal 4-level</x:v>
      </x:c>
      <x:c r="B15" s="54" t="str">
        <x:v>Selected temporal XGBoost</x:v>
      </x:c>
      <x:c r="C15" s="54" t="str">
        <x:v>XGBoost</x:v>
      </x:c>
      <x:c r="D15" s="54" t="str">
        <x:v>512 task-specific features selected from 1,664</x:v>
      </x:c>
      <x:c r="E15" s="54" t="n">
        <x:v>42</x:v>
      </x:c>
      <x:c r="F15" s="55" t="n">
        <x:v>0.28947228703595473</x:v>
      </x:c>
      <x:c r="G15" s="55" t="n">
        <x:v>0.2925554721700737</x:v>
      </x:c>
      <x:c r="H15" s="55" t="n">
        <x:v>0.13104350448793617</x:v>
      </x:c>
      <x:c r="I15" s="55" t="n">
        <x:v>0.2918302029755615</x:v>
      </x:c>
      <x:c r="J15" s="55" t="n">
        <x:v>0.29256494127726046</x:v>
      </x:c>
      <x:c r="K15" s="55" t="n">
        <x:v>0.582276474318326</x:v>
      </x:c>
      <x:c r="L15" s="56" t="n">
        <x:v>0.5049143944197844</x:v>
      </x:c>
      <x:c r="M15" s="56" t="n">
        <x:v>0.13394246425036951</x:v>
      </x:c>
      <x:c r="N15" s="55"/>
      <x:c r="O15" s="55"/>
      <x:c r="P15" s="55"/>
      <x:c r="Q15" s="57"/>
      <x:c r="R15" s="58" t="n">
        <x:v>263.09482409991324</x:v>
      </x:c>
      <x:c r="S15" s="54" t="str">
        <x:v>ml/artifacts/model-temporal-xgboost-temporal_select_512-seed42/metrics.json</x:v>
      </x:c>
      <x:c r="T15" s="54" t="str">
        <x:v>Best four-level accuracy/MAE trade-off</x:v>
      </x:c>
    </x:row>
    <x:row r="16">
      <x:c r="A16" s="54" t="str">
        <x:v>Binary Low/High</x:v>
      </x:c>
      <x:c r="B16" s="54" t="str">
        <x:v>Collapsed 4-class XGBoost</x:v>
      </x:c>
      <x:c r="C16" s="54" t="str">
        <x:v>XGBoost</x:v>
      </x:c>
      <x:c r="D16" s="54" t="str">
        <x:v>364 blendshape statistics</x:v>
      </x:c>
      <x:c r="E16" s="54" t="str">
        <x:v>N/A</x:v>
      </x:c>
      <x:c r="F16" s="55" t="n">
        <x:v>0.5605477181116152</x:v>
      </x:c>
      <x:c r="G16" s="55" t="n">
        <x:v>0.5666617044525332</x:v>
      </x:c>
      <x:c r="H16" s="55" t="n">
        <x:v>0.12361525609738166</x:v>
      </x:c>
      <x:c r="I16" s="55" t="n">
        <x:v>0.5555858036218436</x:v>
      </x:c>
      <x:c r="J16" s="55" t="n">
        <x:v>0.5715120342672161</x:v>
      </x:c>
      <x:c r="K16" s="55" t="n">
        <x:v>0.8124603677869372</x:v>
      </x:c>
      <x:c r="L16" s="56" t="n">
        <x:v>0.18753963221306277</x:v>
      </x:c>
      <x:c r="M16" s="56" t="n">
        <x:v>0.11787670585799603</x:v>
      </x:c>
      <x:c r="N16" s="55" t="n">
        <x:v>0.44421569061422383</x:v>
      </x:c>
      <x:c r="O16" s="55" t="n">
        <x:v>0.6988083779202086</x:v>
      </x:c>
      <x:c r="P16" s="55" t="n">
        <x:v>0.2809315728232131</x:v>
      </x:c>
      <x:c r="Q16" s="57"/>
      <x:c r="R16" s="58"/>
      <x:c r="S16" s="54" t="str">
        <x:v>ml/artifacts/binary/xgboost_collapsed_metrics.json</x:v>
      </x:c>
      <x:c r="T16" s="54" t="str">
        <x:v>Strong low-cost binary baseline</x:v>
      </x:c>
    </x:row>
    <x:row r="17">
      <x:c r="A17" s="54" t="str">
        <x:v>Binary Low/High</x:v>
      </x:c>
      <x:c r="B17" s="54" t="str">
        <x:v>Direct binary XGBoost</x:v>
      </x:c>
      <x:c r="C17" s="54" t="str">
        <x:v>XGBoost</x:v>
      </x:c>
      <x:c r="D17" s="54" t="str">
        <x:v>364 blendshape statistics</x:v>
      </x:c>
      <x:c r="E17" s="54" t="n">
        <x:v>1729</x:v>
      </x:c>
      <x:c r="F17" s="55" t="n">
        <x:v>0.5753580465574789</x:v>
      </x:c>
      <x:c r="G17" s="55" t="n">
        <x:v>0.5779643413481852</x:v>
      </x:c>
      <x:c r="H17" s="55" t="n">
        <x:v>0.15157142326528059</x:v>
      </x:c>
      <x:c r="I17" s="55" t="n">
        <x:v>0.5426509161688209</x:v>
      </x:c>
      <x:c r="J17" s="55" t="n">
        <x:v>0.5532315942041681</x:v>
      </x:c>
      <x:c r="K17" s="55" t="n">
        <x:v>0.8203868103994928</x:v>
      </x:c>
      <x:c r="L17" s="56" t="n">
        <x:v>0.1796131896005073</x:v>
      </x:c>
      <x:c r="M17" s="56" t="n">
        <x:v>0.0880497835053044</x:v>
      </x:c>
      <x:c r="N17" s="55" t="n">
        <x:v>0.3827290434743504</x:v>
      </x:c>
      <x:c r="O17" s="55" t="n">
        <x:v>0.7237341449339859</x:v>
      </x:c>
      <x:c r="P17" s="55" t="n">
        <x:v>0.22834654898050913</x:v>
      </x:c>
      <x:c r="Q17" s="57"/>
      <x:c r="R17" s="58"/>
      <x:c r="S17" s="54" t="str">
        <x:v>ml/artifacts/model-binary-xgboost/metrics.json</x:v>
      </x:c>
      <x:c r="T17" s="54" t="str">
        <x:v>Superseded by combined-feature XGBoost</x:v>
      </x:c>
    </x:row>
    <x:row r="18">
      <x:c r="A18" s="54" t="str">
        <x:v>Binary Low/High</x:v>
      </x:c>
      <x:c r="B18" s="54" t="str">
        <x:v>Direct binary XGBoost</x:v>
      </x:c>
      <x:c r="C18" s="54" t="str">
        <x:v>XGBoost</x:v>
      </x:c>
      <x:c r="D18" s="54" t="str">
        <x:v>364 blendshape statistics</x:v>
      </x:c>
      <x:c r="E18" s="54" t="n">
        <x:v>42</x:v>
      </x:c>
      <x:c r="F18" s="55" t="n">
        <x:v>0.5649918149074372</x:v>
      </x:c>
      <x:c r="G18" s="55" t="n">
        <x:v>0.565971802034299</x:v>
      </x:c>
      <x:c r="H18" s="55" t="n">
        <x:v>0.13071084263360774</x:v>
      </x:c>
      <x:c r="I18" s="55" t="n">
        <x:v>0.5532058478195816</x:v>
      </x:c>
      <x:c r="J18" s="55" t="n">
        <x:v>0.5566652491660383</x:v>
      </x:c>
      <x:c r="K18" s="55" t="n">
        <x:v>0.8362396956246038</x:v>
      </x:c>
      <x:c r="L18" s="56" t="n">
        <x:v>0.16376030437539632</x:v>
      </x:c>
      <x:c r="M18" s="56" t="n">
        <x:v>0.10710553018441693</x:v>
      </x:c>
      <x:c r="N18" s="55" t="n">
        <x:v>0.38669936913078423</x:v>
      </x:c>
      <x:c r="O18" s="55" t="n">
        <x:v>0.7266311292012924</x:v>
      </x:c>
      <x:c r="P18" s="55" t="n">
        <x:v>0.21581267364175577</x:v>
      </x:c>
      <x:c r="Q18" s="57"/>
      <x:c r="R18" s="58"/>
      <x:c r="S18" s="54" t="str">
        <x:v>ml/artifacts/model-binary-xgboost-seed42/metrics.json</x:v>
      </x:c>
      <x:c r="T18" s="54" t="str">
        <x:v>Superseded by combined-feature XGBoost</x:v>
      </x:c>
    </x:row>
    <x:row r="19">
      <x:c r="A19" s="54" t="str">
        <x:v>Binary Low/High</x:v>
      </x:c>
      <x:c r="B19" s="54" t="str">
        <x:v>Binary TCN</x:v>
      </x:c>
      <x:c r="C19" s="54" t="str">
        <x:v>TCN-CORN</x:v>
      </x:c>
      <x:c r="D19" s="54" t="str">
        <x:v>52 blendshapes + temporal deltas</x:v>
      </x:c>
      <x:c r="E19" s="54" t="n">
        <x:v>1729</x:v>
      </x:c>
      <x:c r="F19" s="55" t="n">
        <x:v>0.5795235899379819</x:v>
      </x:c>
      <x:c r="G19" s="55" t="n">
        <x:v>0.581594062106314</x:v>
      </x:c>
      <x:c r="H19" s="55" t="n">
        <x:v>0.16141386325122753</x:v>
      </x:c>
      <x:c r="I19" s="55" t="n">
        <x:v>0.5434094005969592</x:v>
      </x:c>
      <x:c r="J19" s="55" t="n">
        <x:v>0.5821711300441735</x:v>
      </x:c>
      <x:c r="K19" s="55" t="n">
        <x:v>0.7664870006341153</x:v>
      </x:c>
      <x:c r="L19" s="56" t="n">
        <x:v>0.2335129993658846</x:v>
      </x:c>
      <x:c r="M19" s="56" t="n">
        <x:v>0.11955793869655118</x:v>
      </x:c>
      <x:c r="N19" s="55" t="n">
        <x:v>0.5540437114992092</x:v>
      </x:c>
      <x:c r="O19" s="55" t="n">
        <x:v>0.6102985485891379</x:v>
      </x:c>
      <x:c r="P19" s="55" t="n">
        <x:v>0.3623559718793381</x:v>
      </x:c>
      <x:c r="Q19" s="57" t="n">
        <x:v>178373</x:v>
      </x:c>
      <x:c r="R19" s="58" t="n">
        <x:v>58.04963940009475</x:v>
      </x:c>
      <x:c r="S19" s="54" t="str">
        <x:v>ml/artifacts/model-binary-tcn/metrics.json</x:v>
      </x:c>
      <x:c r="T19" s="54" t="str">
        <x:v>Recommended intervention-detection gate</x:v>
      </x:c>
    </x:row>
    <x:row r="20">
      <x:c r="A20" s="54" t="str">
        <x:v>Binary Low/High</x:v>
      </x:c>
      <x:c r="B20" s="54" t="str">
        <x:v>Binary TCN</x:v>
      </x:c>
      <x:c r="C20" s="54" t="str">
        <x:v>TCN-CORN</x:v>
      </x:c>
      <x:c r="D20" s="54" t="str">
        <x:v>52 blendshapes + temporal deltas</x:v>
      </x:c>
      <x:c r="E20" s="54" t="n">
        <x:v>42</x:v>
      </x:c>
      <x:c r="F20" s="55" t="n">
        <x:v>0.5636228108168967</x:v>
      </x:c>
      <x:c r="G20" s="55" t="n">
        <x:v>0.5664264086046981</x:v>
      </x:c>
      <x:c r="H20" s="55" t="n">
        <x:v>0.13025872470164687</x:v>
      </x:c>
      <x:c r="I20" s="55" t="n">
        <x:v>0.5537477054770279</x:v>
      </x:c>
      <x:c r="J20" s="55" t="n">
        <x:v>0.567055611267083</x:v>
      </x:c>
      <x:c r="K20" s="55" t="n">
        <x:v>0.8186429930247305</x:v>
      </x:c>
      <x:c r="L20" s="56" t="n">
        <x:v>0.1813570069752695</x:v>
      </x:c>
      <x:c r="M20" s="56" t="n">
        <x:v>0.1115685402900409</x:v>
      </x:c>
      <x:c r="N20" s="55" t="n">
        <x:v>0.4279134742970317</x:v>
      </x:c>
      <x:c r="O20" s="55" t="n">
        <x:v>0.7061977482371344</x:v>
      </x:c>
      <x:c r="P20" s="55" t="n">
        <x:v>0.2607057085738895</x:v>
      </x:c>
      <x:c r="Q20" s="57" t="n">
        <x:v>178373</x:v>
      </x:c>
      <x:c r="R20" s="58" t="n">
        <x:v>178.10033260006458</x:v>
      </x:c>
      <x:c r="S20" s="54" t="str">
        <x:v>ml/artifacts/model-binary-tcn-seed42/metrics.json</x:v>
      </x:c>
      <x:c r="T20" s="54" t="str">
        <x:v>Recommended intervention-detection gate</x:v>
      </x:c>
    </x:row>
    <x:row r="21">
      <x:c r="A21" s="54" t="str">
        <x:v>Binary Low/High</x:v>
      </x:c>
      <x:c r="B21" s="54" t="str">
        <x:v>Binary BiLSTM</x:v>
      </x:c>
      <x:c r="C21" s="54" t="str">
        <x:v>BiLSTM-CORN</x:v>
      </x:c>
      <x:c r="D21" s="54" t="str">
        <x:v>52 blendshapes + temporal deltas</x:v>
      </x:c>
      <x:c r="E21" s="54" t="n">
        <x:v>1729</x:v>
      </x:c>
      <x:c r="F21" s="55" t="n">
        <x:v>0.5676738070631022</x:v>
      </x:c>
      <x:c r="G21" s="55" t="n">
        <x:v>0.5700922635105736</x:v>
      </x:c>
      <x:c r="H21" s="55" t="n">
        <x:v>0.13772526633687843</x:v>
      </x:c>
      <x:c r="I21" s="55" t="n">
        <x:v>0.5544481863549764</x:v>
      </x:c>
      <x:c r="J21" s="55" t="n">
        <x:v>0.5741079157524032</x:v>
      </x:c>
      <x:c r="K21" s="55" t="n">
        <x:v>0.8059606848446417</x:v>
      </x:c>
      <x:c r="L21" s="56" t="n">
        <x:v>0.19403931515535827</x:v>
      </x:c>
      <x:c r="M21" s="56" t="n">
        <x:v>0.12876813835890444</x:v>
      </x:c>
      <x:c r="N21" s="55" t="n">
        <x:v>0.5061952388808371</x:v>
      </x:c>
      <x:c r="O21" s="55" t="n">
        <x:v>0.6420205926239692</x:v>
      </x:c>
      <x:c r="P21" s="55" t="n">
        <x:v>0.3010133317105948</x:v>
      </x:c>
      <x:c r="Q21" s="57" t="n">
        <x:v>188245</x:v>
      </x:c>
      <x:c r="R21" s="58" t="n">
        <x:v>104.68319679994602</x:v>
      </x:c>
      <x:c r="S21" s="54" t="str">
        <x:v>ml/artifacts/model-binary-lstm/metrics.json</x:v>
      </x:c>
      <x:c r="T21" s="54" t="str">
        <x:v>Compromise model; not primary recommendation</x:v>
      </x:c>
    </x:row>
    <x:row r="22">
      <x:c r="A22" s="54" t="str">
        <x:v>Binary Low/High</x:v>
      </x:c>
      <x:c r="B22" s="54" t="str">
        <x:v>Binary TCN + behaviour</x:v>
      </x:c>
      <x:c r="C22" s="54" t="str">
        <x:v>TCN-CORN</x:v>
      </x:c>
      <x:c r="D22" s="54" t="str">
        <x:v>52 blendshapes + 12 behaviours + deltas</x:v>
      </x:c>
      <x:c r="E22" s="54" t="n">
        <x:v>1729</x:v>
      </x:c>
      <x:c r="F22" s="55" t="n">
        <x:v>0.5643071103777179</x:v>
      </x:c>
      <x:c r="G22" s="55" t="n">
        <x:v>0.5639674308256627</x:v>
      </x:c>
      <x:c r="H22" s="55" t="n">
        <x:v>0.1300727311588519</x:v>
      </x:c>
      <x:c r="I22" s="55" t="n">
        <x:v>0.548675718237733</x:v>
      </x:c>
      <x:c r="J22" s="55" t="n">
        <x:v>0.5773127256998369</x:v>
      </x:c>
      <x:c r="K22" s="55" t="n">
        <x:v>0.794863665187064</x:v>
      </x:c>
      <x:c r="L22" s="56" t="n">
        <x:v>0.20513633481293597</x:v>
      </x:c>
      <x:c r="M22" s="56" t="n">
        <x:v>0.11299686958147703</x:v>
      </x:c>
      <x:c r="N22" s="55" t="n">
        <x:v>0.5273474189727336</x:v>
      </x:c>
      <x:c r="O22" s="55" t="n">
        <x:v>0.6272780324269402</x:v>
      </x:c>
      <x:c r="P22" s="55" t="n">
        <x:v>0.3207502250743733</x:v>
      </x:c>
      <x:c r="Q22" s="57" t="n">
        <x:v>180677</x:v>
      </x:c>
      <x:c r="R22" s="58" t="n">
        <x:v>123.7492215000093</x:v>
      </x:c>
      <x:c r="S22" s="54" t="str">
        <x:v>ml/artifacts/model-binary-tcn-behavior/metrics.json</x:v>
      </x:c>
      <x:c r="T22" s="54" t="str">
        <x:v>Do not promote; problem recall decreased</x:v>
      </x:c>
    </x:row>
    <x:row r="23">
      <x:c r="A23" s="54" t="str">
        <x:v>Binary Low/High</x:v>
      </x:c>
      <x:c r="B23" s="54" t="str">
        <x:v>Binary TCN + behaviour</x:v>
      </x:c>
      <x:c r="C23" s="54" t="str">
        <x:v>TCN-CORN</x:v>
      </x:c>
      <x:c r="D23" s="54" t="str">
        <x:v>52 blendshapes + 12 behaviours + deltas</x:v>
      </x:c>
      <x:c r="E23" s="54" t="n">
        <x:v>42</x:v>
      </x:c>
      <x:c r="F23" s="55" t="n">
        <x:v>0.575148400673141</x:v>
      </x:c>
      <x:c r="G23" s="55" t="n">
        <x:v>0.5779351602959619</x:v>
      </x:c>
      <x:c r="H23" s="55" t="n">
        <x:v>0.150705288615877</x:v>
      </x:c>
      <x:c r="I23" s="55" t="n">
        <x:v>0.5591158315838994</x:v>
      </x:c>
      <x:c r="J23" s="55" t="n">
        <x:v>0.5626804501420655</x:v>
      </x:c>
      <x:c r="K23" s="55" t="n">
        <x:v>0.8376664552948636</x:v>
      </x:c>
      <x:c r="L23" s="56" t="n">
        <x:v>0.1623335447051363</x:v>
      </x:c>
      <x:c r="M23" s="56" t="n">
        <x:v>0.12322755896788767</x:v>
      </x:c>
      <x:c r="N23" s="55" t="n">
        <x:v>0.4221619368689382</x:v>
      </x:c>
      <x:c r="O23" s="55" t="n">
        <x:v>0.7031989634151927</x:v>
      </x:c>
      <x:c r="P23" s="55" t="n">
        <x:v>0.226756520440192</x:v>
      </x:c>
      <x:c r="Q23" s="57" t="n">
        <x:v>180677</x:v>
      </x:c>
      <x:c r="R23" s="58" t="n">
        <x:v>149.3933908001054</x:v>
      </x:c>
      <x:c r="S23" s="54" t="str">
        <x:v>ml/artifacts/model-binary-tcn-behavior-seed42/metrics.json</x:v>
      </x:c>
      <x:c r="T23" s="54" t="str">
        <x:v>Do not promote; problem recall decreased</x:v>
      </x:c>
    </x:row>
    <x:row r="24">
      <x:c r="A24" s="54" t="str">
        <x:v>Binary Low/High</x:v>
      </x:c>
      <x:c r="B24" s="54" t="str">
        <x:v>Combined-feature XGBoost</x:v>
      </x:c>
      <x:c r="C24" s="54" t="str">
        <x:v>XGBoost</x:v>
      </x:c>
      <x:c r="D24" s="54" t="str">
        <x:v>364 blendshape + 84 behaviour statistics</x:v>
      </x:c>
      <x:c r="E24" s="54" t="n">
        <x:v>1729</x:v>
      </x:c>
      <x:c r="F24" s="55" t="n">
        <x:v>0.5806817777743392</x:v>
      </x:c>
      <x:c r="G24" s="55" t="n">
        <x:v>0.5849743979719286</x:v>
      </x:c>
      <x:c r="H24" s="55" t="n">
        <x:v>0.16442312028816425</x:v>
      </x:c>
      <x:c r="I24" s="55" t="n">
        <x:v>0.5539418937620089</x:v>
      </x:c>
      <x:c r="J24" s="55" t="n">
        <x:v>0.5641308593090352</x:v>
      </x:c>
      <x:c r="K24" s="55" t="n">
        <x:v>0.8335447051363348</x:v>
      </x:c>
      <x:c r="L24" s="56" t="n">
        <x:v>0.16645529486366517</x:v>
      </x:c>
      <x:c r="M24" s="56" t="n">
        <x:v>0.1096014449489015</x:v>
      </x:c>
      <x:c r="N24" s="55" t="n">
        <x:v>0.38956386917660424</x:v>
      </x:c>
      <x:c r="O24" s="55" t="n">
        <x:v>0.738697849441466</x:v>
      </x:c>
      <x:c r="P24" s="55" t="n">
        <x:v>0.2380629310903003</x:v>
      </x:c>
      <x:c r="Q24" s="57"/>
      <x:c r="R24" s="58"/>
      <x:c r="S24" s="54" t="str">
        <x:v>ml/artifacts/model-binary-xgboost-behavior/metrics.json</x:v>
      </x:c>
      <x:c r="T24" s="54" t="str">
        <x:v>Best XGBoost; confirmation/calibration model</x:v>
      </x:c>
    </x:row>
    <x:row r="25">
      <x:c r="A25" s="54" t="str">
        <x:v>Binary Low/High</x:v>
      </x:c>
      <x:c r="B25" s="54" t="str">
        <x:v>Combined-feature XGBoost</x:v>
      </x:c>
      <x:c r="C25" s="54" t="str">
        <x:v>XGBoost</x:v>
      </x:c>
      <x:c r="D25" s="54" t="str">
        <x:v>364 blendshape + 84 behaviour statistics</x:v>
      </x:c>
      <x:c r="E25" s="54" t="n">
        <x:v>42</x:v>
      </x:c>
      <x:c r="F25" s="55" t="n">
        <x:v>0.5839210048446097</x:v>
      </x:c>
      <x:c r="G25" s="55" t="n">
        <x:v>0.5899157073351254</x:v>
      </x:c>
      <x:c r="H25" s="55" t="n">
        <x:v>0.17049357444878876</x:v>
      </x:c>
      <x:c r="I25" s="55" t="n">
        <x:v>0.5651752470732418</x:v>
      </x:c>
      <x:c r="J25" s="55" t="n">
        <x:v>0.5780257013447044</x:v>
      </x:c>
      <x:c r="K25" s="55" t="n">
        <x:v>0.8279961953075461</x:v>
      </x:c>
      <x:c r="L25" s="56" t="n">
        <x:v>0.17200380469245402</x:v>
      </x:c>
      <x:c r="M25" s="56" t="n">
        <x:v>0.13401438151733658</x:v>
      </x:c>
      <x:c r="N25" s="55" t="n">
        <x:v>0.4233668988151596</x:v>
      </x:c>
      <x:c r="O25" s="55" t="n">
        <x:v>0.7326845038742493</x:v>
      </x:c>
      <x:c r="P25" s="55" t="n">
        <x:v>0.27261235113590354</x:v>
      </x:c>
      <x:c r="Q25" s="57"/>
      <x:c r="R25" s="58"/>
      <x:c r="S25" s="54" t="str">
        <x:v>ml/artifacts/model-binary-xgboost-behavior-seed42/metrics.json</x:v>
      </x:c>
      <x:c r="T25" s="54" t="str">
        <x:v>Best XGBoost; confirmation/calibration model</x:v>
      </x:c>
    </x:row>
    <x:row r="26">
      <x:c r="A26" s="54" t="str">
        <x:v>Binary Low/High</x:v>
      </x:c>
      <x:c r="B26" s="54" t="str">
        <x:v>Logistic Regression</x:v>
      </x:c>
      <x:c r="C26" s="54" t="str">
        <x:v>Logistic Regression</x:v>
      </x:c>
      <x:c r="D26" s="54" t="str">
        <x:v>364 blendshape + 84 behaviour statistics</x:v>
      </x:c>
      <x:c r="E26" s="54" t="n">
        <x:v>1729</x:v>
      </x:c>
      <x:c r="F26" s="55" t="n">
        <x:v>0.5469456646290165</x:v>
      </x:c>
      <x:c r="G26" s="55" t="n">
        <x:v>0.5522895580414408</x:v>
      </x:c>
      <x:c r="H26" s="55" t="n">
        <x:v>0.0973208068991118</x:v>
      </x:c>
      <x:c r="I26" s="55" t="n">
        <x:v>0.5573433145673867</x:v>
      </x:c>
      <x:c r="J26" s="55" t="n">
        <x:v>0.564234631951577</x:v>
      </x:c>
      <x:c r="K26" s="55" t="n">
        <x:v>0.8406785034876348</x:v>
      </x:c>
      <x:c r="L26" s="56" t="n">
        <x:v>0.15932149651236524</x:v>
      </x:c>
      <x:c r="M26" s="56" t="n">
        <x:v>0.12025598157901068</x:v>
      </x:c>
      <x:c r="N26" s="55" t="n">
        <x:v>0.39895369921314405</x:v>
      </x:c>
      <x:c r="O26" s="55" t="n">
        <x:v>0.7295155646900098</x:v>
      </x:c>
      <x:c r="P26" s="55" t="n">
        <x:v>0.21946108154449245</x:v>
      </x:c>
      <x:c r="Q26" s="57"/>
      <x:c r="R26" s="58" t="n">
        <x:v>24.461833599954844</x:v>
      </x:c>
      <x:c r="S26" s="54" t="str">
        <x:v>ml/artifacts/model-classical-logistic_regression-seed1729/metrics.json</x:v>
      </x:c>
      <x:c r="T26" s="54" t="str">
        <x:v>Fast, interpretable classical baseline</x:v>
      </x:c>
    </x:row>
    <x:row r="27">
      <x:c r="A27" s="54" t="str">
        <x:v>Binary Low/High</x:v>
      </x:c>
      <x:c r="B27" s="54" t="str">
        <x:v>Linear SVM</x:v>
      </x:c>
      <x:c r="C27" s="54" t="str">
        <x:v>Linear SVM</x:v>
      </x:c>
      <x:c r="D27" s="54" t="str">
        <x:v>364 blendshape + 84 behaviour statistics</x:v>
      </x:c>
      <x:c r="E27" s="54" t="n">
        <x:v>1729</x:v>
      </x:c>
      <x:c r="F27" s="55" t="n">
        <x:v>0.5502104089079503</x:v>
      </x:c>
      <x:c r="G27" s="55" t="n">
        <x:v>0.5531340691510239</x:v>
      </x:c>
      <x:c r="H27" s="55" t="n">
        <x:v>0.10273123517477856</x:v>
      </x:c>
      <x:c r="I27" s="55" t="n">
        <x:v>0.5487886520065655</x:v>
      </x:c>
      <x:c r="J27" s="55" t="n">
        <x:v>0.559315450286329</x:v>
      </x:c>
      <x:c r="K27" s="55" t="n">
        <x:v>0.8351299936588459</x:v>
      </x:c>
      <x:c r="L27" s="56" t="n">
        <x:v>0.1648700063411541</x:v>
      </x:c>
      <x:c r="M27" s="56" t="n">
        <x:v>0.10837864159506091</x:v>
      </x:c>
      <x:c r="N27" s="55" t="n">
        <x:v>0.4060419503989238</x:v>
      </x:c>
      <x:c r="O27" s="55" t="n">
        <x:v>0.7125889501737341</x:v>
      </x:c>
      <x:c r="P27" s="55" t="n">
        <x:v>0.21673409494578735</x:v>
      </x:c>
      <x:c r="Q27" s="57"/>
      <x:c r="R27" s="58" t="n">
        <x:v>306.06796470005065</x:v>
      </x:c>
      <x:c r="S27" s="54" t="str">
        <x:v>ml/artifacts/model-classical-linear_svm-seed1729/metrics.json</x:v>
      </x:c>
      <x:c r="T27" s="54" t="str">
        <x:v>Fast baseline; weaker than logistic regression</x:v>
      </x:c>
    </x:row>
    <x:row r="28">
      <x:c r="A28" s="54" t="str">
        <x:v>Binary Low/High</x:v>
      </x:c>
      <x:c r="B28" s="54" t="str">
        <x:v>Random Forest</x:v>
      </x:c>
      <x:c r="C28" s="54" t="str">
        <x:v>Random Forest</x:v>
      </x:c>
      <x:c r="D28" s="54" t="str">
        <x:v>364 blendshape + 84 behaviour statistics</x:v>
      </x:c>
      <x:c r="E28" s="54" t="n">
        <x:v>1729</x:v>
      </x:c>
      <x:c r="F28" s="55" t="n">
        <x:v>0.5755459082923996</x:v>
      </x:c>
      <x:c r="G28" s="55" t="n">
        <x:v>0.5951888746467762</x:v>
      </x:c>
      <x:c r="H28" s="55" t="n">
        <x:v>0.16074548654721033</x:v>
      </x:c>
      <x:c r="I28" s="55" t="n">
        <x:v>0.5626660710441242</x:v>
      </x:c>
      <x:c r="J28" s="55" t="n">
        <x:v>0.5907034733606602</x:v>
      </x:c>
      <x:c r="K28" s="55" t="n">
        <x:v>0.8061192136968929</x:v>
      </x:c>
      <x:c r="L28" s="56" t="n">
        <x:v>0.19388078630310718</x:v>
      </x:c>
      <x:c r="M28" s="56" t="n">
        <x:v>0.13688037138408324</x:v>
      </x:c>
      <x:c r="N28" s="55" t="n">
        <x:v>0.4546321588650359</x:v>
      </x:c>
      <x:c r="O28" s="55" t="n">
        <x:v>0.7267747878562845</x:v>
      </x:c>
      <x:c r="P28" s="55" t="n">
        <x:v>0.3266853442798332</x:v>
      </x:c>
      <x:c r="Q28" s="57"/>
      <x:c r="R28" s="58" t="n">
        <x:v>97.12268119980581</x:v>
      </x:c>
      <x:c r="S28" s="54" t="str">
        <x:v>ml/artifacts/model-classical-random_forest-seed1729/metrics.json</x:v>
      </x:c>
      <x:c r="T28" s="54" t="str">
        <x:v>Best classical intervention-oriented trade-off</x:v>
      </x:c>
    </x:row>
    <x:row r="29">
      <x:c r="A29" s="54" t="str">
        <x:v>Binary Low/High</x:v>
      </x:c>
      <x:c r="B29" s="54" t="str">
        <x:v>Random Forest</x:v>
      </x:c>
      <x:c r="C29" s="54" t="str">
        <x:v>Random Forest</x:v>
      </x:c>
      <x:c r="D29" s="54" t="str">
        <x:v>364 blendshape + 84 behaviour statistics</x:v>
      </x:c>
      <x:c r="E29" s="54" t="n">
        <x:v>42</x:v>
      </x:c>
      <x:c r="F29" s="55" t="n">
        <x:v>0.5830164474256754</x:v>
      </x:c>
      <x:c r="G29" s="55" t="n">
        <x:v>0.591103939532318</x:v>
      </x:c>
      <x:c r="H29" s="55" t="n">
        <x:v>0.1694075443231537</x:v>
      </x:c>
      <x:c r="I29" s="55" t="n">
        <x:v>0.5635213959977765</x:v>
      </x:c>
      <x:c r="J29" s="55" t="n">
        <x:v>0.5807620501598418</x:v>
      </x:c>
      <x:c r="K29" s="55" t="n">
        <x:v>0.8314838300570704</x:v>
      </x:c>
      <x:c r="L29" s="56" t="n">
        <x:v>0.16851616994292962</x:v>
      </x:c>
      <x:c r="M29" s="56" t="n">
        <x:v>0.1297051693756727</x:v>
      </x:c>
      <x:c r="N29" s="55" t="n">
        <x:v>0.39706593836907195</x:v>
      </x:c>
      <x:c r="O29" s="55" t="n">
        <x:v>0.7644581619506119</x:v>
      </x:c>
      <x:c r="P29" s="55" t="n">
        <x:v>0.2704569164260097</x:v>
      </x:c>
      <x:c r="Q29" s="57"/>
      <x:c r="R29" s="58" t="n">
        <x:v>95.39109959988855</x:v>
      </x:c>
      <x:c r="S29" s="54" t="str">
        <x:v>ml/artifacts/model-classical-random_forest-seed42/metrics.json</x:v>
      </x:c>
      <x:c r="T29" s="54" t="str">
        <x:v>Best classical intervention-oriented trade-off</x:v>
      </x:c>
    </x:row>
    <x:row r="30">
      <x:c r="A30" s="54" t="str">
        <x:v>Binary Low/High</x:v>
      </x:c>
      <x:c r="B30" s="54" t="str">
        <x:v>Extra Trees</x:v>
      </x:c>
      <x:c r="C30" s="54" t="str">
        <x:v>Extra Trees</x:v>
      </x:c>
      <x:c r="D30" s="54" t="str">
        <x:v>364 blendshape + 84 behaviour statistics</x:v>
      </x:c>
      <x:c r="E30" s="54" t="n">
        <x:v>1729</x:v>
      </x:c>
      <x:c r="F30" s="55" t="n">
        <x:v>0.5890975011709411</x:v>
      </x:c>
      <x:c r="G30" s="55" t="n">
        <x:v>0.5974944921144517</x:v>
      </x:c>
      <x:c r="H30" s="55" t="n">
        <x:v>0.18003124826391195</x:v>
      </x:c>
      <x:c r="I30" s="55" t="n">
        <x:v>0.5719470164238194</x:v>
      </x:c>
      <x:c r="J30" s="55" t="n">
        <x:v>0.5916089122754593</x:v>
      </x:c>
      <x:c r="K30" s="55" t="n">
        <x:v>0.8321179454660748</x:v>
      </x:c>
      <x:c r="L30" s="56" t="n">
        <x:v>0.16788205453392518</x:v>
      </x:c>
      <x:c r="M30" s="56" t="n">
        <x:v>0.14907967086778842</x:v>
      </x:c>
      <x:c r="N30" s="55" t="n">
        <x:v>0.42158663447064115</x:v>
      </x:c>
      <x:c r="O30" s="55" t="n">
        <x:v>0.7616311900802777</x:v>
      </x:c>
      <x:c r="P30" s="55" t="n">
        <x:v>0.2906297864406224</x:v>
      </x:c>
      <x:c r="Q30" s="57"/>
      <x:c r="R30" s="58" t="n">
        <x:v>49.665677699958906</x:v>
      </x:c>
      <x:c r="S30" s="54" t="str">
        <x:v>ml/artifacts/model-classical-extra_trees-seed1729/metrics.json</x:v>
      </x:c>
      <x:c r="T30" s="54" t="str">
        <x:v>Best classical overall macro-F1 and kappa</x:v>
      </x:c>
    </x:row>
    <x:row r="31">
      <x:c r="A31" s="54" t="str">
        <x:v>Binary Low/High</x:v>
      </x:c>
      <x:c r="B31" s="54" t="str">
        <x:v>Extra Trees</x:v>
      </x:c>
      <x:c r="C31" s="54" t="str">
        <x:v>Extra Trees</x:v>
      </x:c>
      <x:c r="D31" s="54" t="str">
        <x:v>364 blendshape + 84 behaviour statistics</x:v>
      </x:c>
      <x:c r="E31" s="54" t="n">
        <x:v>42</x:v>
      </x:c>
      <x:c r="F31" s="55" t="n">
        <x:v>0.5870337130540122</x:v>
      </x:c>
      <x:c r="G31" s="55" t="n">
        <x:v>0.5835350715889209</x:v>
      </x:c>
      <x:c r="H31" s="55" t="n">
        <x:v>0.17488832820858086</x:v>
      </x:c>
      <x:c r="I31" s="55" t="n">
        <x:v>0.5623585836322988</x:v>
      </x:c>
      <x:c r="J31" s="55" t="n">
        <x:v>0.5647710542354754</x:v>
      </x:c>
      <x:c r="K31" s="55" t="n">
        <x:v>0.8495561192136969</x:v>
      </x:c>
      <x:c r="L31" s="56" t="n">
        <x:v>0.1504438807863031</x:v>
      </x:c>
      <x:c r="M31" s="56" t="n">
        <x:v>0.12637479404056967</x:v>
      </x:c>
      <x:c r="N31" s="55" t="n">
        <x:v>0.3608127673915763</x:v>
      </x:c>
      <x:c r="O31" s="55" t="n">
        <x:v>0.7687293410793743</x:v>
      </x:c>
      <x:c r="P31" s="55" t="n">
        <x:v>0.2099297426750415</x:v>
      </x:c>
      <x:c r="Q31" s="57"/>
      <x:c r="R31" s="58" t="n">
        <x:v>47.06063620001078</x:v>
      </x:c>
      <x:c r="S31" s="54" t="str">
        <x:v>ml/artifacts/model-classical-extra_trees-seed42/metrics.json</x:v>
      </x:c>
      <x:c r="T31" s="54" t="str">
        <x:v>Best classical overall macro-F1 and kappa</x:v>
      </x:c>
    </x:row>
  </x:sheetData>
  <x:pageMargins left="0.7" right="0.7" top="0.75" bottom="0.75" header="0.3" footer="0.3"/>
  <x:tableParts count="1">
    <x:tablePart xmlns:r="http://schemas.openxmlformats.org/officeDocument/2006/relationships" r:id="Rca68995ec00146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3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52" hidden="0" customWidth="1"/>
  </x:cols>
  <x:sheetData>
    <x:row r="1" ht="32" customHeight="1">
      <x:c r="A1" s="15" t="str">
        <x:v>Target</x:v>
      </x:c>
      <x:c r="B1" s="16" t="str">
        <x:v>Model group</x:v>
      </x:c>
      <x:c r="C1" s="16" t="str">
        <x:v>Architecture</x:v>
      </x:c>
      <x:c r="D1" s="16" t="str">
        <x:v>Inputs</x:v>
      </x:c>
      <x:c r="E1" s="16" t="str">
        <x:v>Seed</x:v>
      </x:c>
      <x:c r="F1" s="16" t="str">
        <x:v>Task</x:v>
      </x:c>
      <x:c r="G1" s="16" t="str">
        <x:v>Macro-F1</x:v>
      </x:c>
      <x:c r="H1" s="16" t="str">
        <x:v>Balanced accuracy</x:v>
      </x:c>
      <x:c r="I1" s="16" t="str">
        <x:v>Accuracy</x:v>
      </x:c>
      <x:c r="J1" s="16" t="str">
        <x:v>MAE</x:v>
      </x:c>
      <x:c r="K1" s="16" t="str">
        <x:v>Kappa</x:v>
      </x:c>
      <x:c r="L1" s="16" t="str">
        <x:v>Precision High</x:v>
      </x:c>
      <x:c r="M1" s="16" t="str">
        <x:v>Recall High</x:v>
      </x:c>
      <x:c r="N1" s="16" t="str">
        <x:v>Recall Low</x:v>
      </x:c>
      <x:c r="O1" s="16" t="str">
        <x:v>Support Low</x:v>
      </x:c>
      <x:c r="P1" s="16" t="str">
        <x:v>Support High</x:v>
      </x:c>
      <x:c r="Q1" s="16" t="str">
        <x:v>OELM problem recall</x:v>
      </x:c>
      <x:c r="R1" s="17" t="str">
        <x:v>Source metrics JSON</x:v>
      </x:c>
    </x:row>
    <x:row r="2">
      <x:c r="A2" s="54" t="str">
        <x:v>Ordinal 4-level</x:v>
      </x:c>
      <x:c r="B2" s="54" t="str">
        <x:v>Existing XGBoost</x:v>
      </x:c>
      <x:c r="C2" s="54" t="str">
        <x:v>XGBoost</x:v>
      </x:c>
      <x:c r="D2" s="54" t="str">
        <x:v>364 blendshape statistics</x:v>
      </x:c>
      <x:c r="E2" s="54" t="str">
        <x:v>N/A</x:v>
      </x:c>
      <x:c r="F2" s="54" t="str">
        <x:v>Boredom</x:v>
      </x:c>
      <x:c r="G2" s="55" t="n">
        <x:v>0.2910270617564577</x:v>
      </x:c>
      <x:c r="H2" s="55" t="n">
        <x:v>0.3121107581367571</x:v>
      </x:c>
      <x:c r="I2" s="55" t="n">
        <x:v>0.38363982244768546</x:v>
      </x:c>
      <x:c r="J2" s="56" t="n">
        <x:v>0.8636651870640456</x:v>
      </x:c>
      <x:c r="K2" s="56" t="n">
        <x:v>0.20119086076434556</x:v>
      </x:c>
      <x:c r="L2" s="55"/>
      <x:c r="M2" s="55"/>
      <x:c r="N2" s="55"/>
      <x:c r="O2" s="57"/>
      <x:c r="P2" s="57"/>
      <x:c r="Q2" s="55"/>
      <x:c r="R2" s="54" t="str">
        <x:v>ml/artifacts/model/xgboost_baseline_metrics.json</x:v>
      </x:c>
    </x:row>
    <x:row r="3">
      <x:c r="A3" s="54" t="str">
        <x:v>Ordinal 4-level</x:v>
      </x:c>
      <x:c r="B3" s="54" t="str">
        <x:v>Existing XGBoost</x:v>
      </x:c>
      <x:c r="C3" s="54" t="str">
        <x:v>XGBoost</x:v>
      </x:c>
      <x:c r="D3" s="54" t="str">
        <x:v>364 blendshape statistics</x:v>
      </x:c>
      <x:c r="E3" s="54" t="str">
        <x:v>N/A</x:v>
      </x:c>
      <x:c r="F3" s="54" t="str">
        <x:v>Engagement</x:v>
      </x:c>
      <x:c r="G3" s="55" t="n">
        <x:v>0.33815816752514766</x:v>
      </x:c>
      <x:c r="H3" s="55" t="n">
        <x:v>0.36987916298261125</x:v>
      </x:c>
      <x:c r="I3" s="55" t="n">
        <x:v>0.5313887127457197</x:v>
      </x:c>
      <x:c r="J3" s="56" t="n">
        <x:v>0.49968294229549776</x:v>
      </x:c>
      <x:c r="K3" s="56" t="n">
        <x:v>0.1789443155452436</x:v>
      </x:c>
      <x:c r="L3" s="55"/>
      <x:c r="M3" s="55"/>
      <x:c r="N3" s="55"/>
      <x:c r="O3" s="57"/>
      <x:c r="P3" s="57"/>
      <x:c r="Q3" s="55"/>
      <x:c r="R3" s="54" t="str">
        <x:v>ml/artifacts/model/xgboost_baseline_metrics.json</x:v>
      </x:c>
    </x:row>
    <x:row r="4">
      <x:c r="A4" s="54" t="str">
        <x:v>Ordinal 4-level</x:v>
      </x:c>
      <x:c r="B4" s="54" t="str">
        <x:v>Existing XGBoost</x:v>
      </x:c>
      <x:c r="C4" s="54" t="str">
        <x:v>XGBoost</x:v>
      </x:c>
      <x:c r="D4" s="54" t="str">
        <x:v>364 blendshape statistics</x:v>
      </x:c>
      <x:c r="E4" s="54" t="str">
        <x:v>N/A</x:v>
      </x:c>
      <x:c r="F4" s="54" t="str">
        <x:v>Confusion</x:v>
      </x:c>
      <x:c r="G4" s="55" t="n">
        <x:v>0.27739180723356355</x:v>
      </x:c>
      <x:c r="H4" s="55" t="n">
        <x:v>0.27858827227685606</x:v>
      </x:c>
      <x:c r="I4" s="55" t="n">
        <x:v>0.6188966391883323</x:v>
      </x:c>
      <x:c r="J4" s="56" t="n">
        <x:v>0.5155358275206088</x:v>
      </x:c>
      <x:c r="K4" s="56" t="n">
        <x:v>0.07086579822181116</x:v>
      </x:c>
      <x:c r="L4" s="55"/>
      <x:c r="M4" s="55"/>
      <x:c r="N4" s="55"/>
      <x:c r="O4" s="57"/>
      <x:c r="P4" s="57"/>
      <x:c r="Q4" s="55"/>
      <x:c r="R4" s="54" t="str">
        <x:v>ml/artifacts/model/xgboost_baseline_metrics.json</x:v>
      </x:c>
    </x:row>
    <x:row r="5">
      <x:c r="A5" s="54" t="str">
        <x:v>Ordinal 4-level</x:v>
      </x:c>
      <x:c r="B5" s="54" t="str">
        <x:v>Existing XGBoost</x:v>
      </x:c>
      <x:c r="C5" s="54" t="str">
        <x:v>XGBoost</x:v>
      </x:c>
      <x:c r="D5" s="54" t="str">
        <x:v>364 blendshape statistics</x:v>
      </x:c>
      <x:c r="E5" s="54" t="str">
        <x:v>N/A</x:v>
      </x:c>
      <x:c r="F5" s="54" t="str">
        <x:v>Frustration</x:v>
      </x:c>
      <x:c r="G5" s="55" t="n">
        <x:v>0.28248018909879985</x:v>
      </x:c>
      <x:c r="H5" s="55" t="n">
        <x:v>0.297864052797569</x:v>
      </x:c>
      <x:c r="I5" s="55" t="n">
        <x:v>0.6347495244134432</x:v>
      </x:c>
      <x:c r="J5" s="56" t="n">
        <x:v>0.5206087507926442</x:v>
      </x:c>
      <x:c r="K5" s="56" t="n">
        <x:v>0.11491846795601057</x:v>
      </x:c>
      <x:c r="L5" s="55"/>
      <x:c r="M5" s="55"/>
      <x:c r="N5" s="55"/>
      <x:c r="O5" s="57"/>
      <x:c r="P5" s="57"/>
      <x:c r="Q5" s="55"/>
      <x:c r="R5" s="54" t="str">
        <x:v>ml/artifacts/model/xgboost_baseline_metrics.json</x:v>
      </x:c>
    </x:row>
    <x:row r="6">
      <x:c r="A6" s="54" t="str">
        <x:v>Ordinal 4-level</x:v>
      </x:c>
      <x:c r="B6" s="54" t="str">
        <x:v>TCN-CORN</x:v>
      </x:c>
      <x:c r="C6" s="54" t="str">
        <x:v>TCN-CORN</x:v>
      </x:c>
      <x:c r="D6" s="54" t="str">
        <x:v>52 blendshapes + temporal deltas</x:v>
      </x:c>
      <x:c r="E6" s="54" t="n">
        <x:v>1729</x:v>
      </x:c>
      <x:c r="F6" s="54" t="str">
        <x:v>Boredom</x:v>
      </x:c>
      <x:c r="G6" s="55" t="n">
        <x:v>0.3383611404804611</x:v>
      </x:c>
      <x:c r="H6" s="55" t="n">
        <x:v>0.3461358734661754</x:v>
      </x:c>
      <x:c r="I6" s="55" t="n">
        <x:v>0.41471147748890297</x:v>
      </x:c>
      <x:c r="J6" s="56" t="n">
        <x:v>0.7729866835764109</x:v>
      </x:c>
      <x:c r="K6" s="56" t="n">
        <x:v>0.22821878891811131</x:v>
      </x:c>
      <x:c r="L6" s="55"/>
      <x:c r="M6" s="55"/>
      <x:c r="N6" s="55"/>
      <x:c r="O6" s="57"/>
      <x:c r="P6" s="57"/>
      <x:c r="Q6" s="55"/>
      <x:c r="R6" s="54" t="str">
        <x:v>ml/artifacts/model/metrics.json</x:v>
      </x:c>
    </x:row>
    <x:row r="7">
      <x:c r="A7" s="54" t="str">
        <x:v>Ordinal 4-level</x:v>
      </x:c>
      <x:c r="B7" s="54" t="str">
        <x:v>TCN-CORN</x:v>
      </x:c>
      <x:c r="C7" s="54" t="str">
        <x:v>TCN-CORN</x:v>
      </x:c>
      <x:c r="D7" s="54" t="str">
        <x:v>52 blendshapes + temporal deltas</x:v>
      </x:c>
      <x:c r="E7" s="54" t="n">
        <x:v>1729</x:v>
      </x:c>
      <x:c r="F7" s="54" t="str">
        <x:v>Engagement</x:v>
      </x:c>
      <x:c r="G7" s="55" t="n">
        <x:v>0.33137637217804916</x:v>
      </x:c>
      <x:c r="H7" s="55" t="n">
        <x:v>0.3210878535091429</x:v>
      </x:c>
      <x:c r="I7" s="55" t="n">
        <x:v>0.5459733671528219</x:v>
      </x:c>
      <x:c r="J7" s="56" t="n">
        <x:v>0.47114774889029803</x:v>
      </x:c>
      <x:c r="K7" s="56" t="n">
        <x:v>0.20605043779164267</x:v>
      </x:c>
      <x:c r="L7" s="55"/>
      <x:c r="M7" s="55"/>
      <x:c r="N7" s="55"/>
      <x:c r="O7" s="57"/>
      <x:c r="P7" s="57"/>
      <x:c r="Q7" s="55"/>
      <x:c r="R7" s="54" t="str">
        <x:v>ml/artifacts/model/metrics.json</x:v>
      </x:c>
    </x:row>
    <x:row r="8">
      <x:c r="A8" s="54" t="str">
        <x:v>Ordinal 4-level</x:v>
      </x:c>
      <x:c r="B8" s="54" t="str">
        <x:v>TCN-CORN</x:v>
      </x:c>
      <x:c r="C8" s="54" t="str">
        <x:v>TCN-CORN</x:v>
      </x:c>
      <x:c r="D8" s="54" t="str">
        <x:v>52 blendshapes + temporal deltas</x:v>
      </x:c>
      <x:c r="E8" s="54" t="n">
        <x:v>1729</x:v>
      </x:c>
      <x:c r="F8" s="54" t="str">
        <x:v>Confusion</x:v>
      </x:c>
      <x:c r="G8" s="55" t="n">
        <x:v>0.2697532992775403</x:v>
      </x:c>
      <x:c r="H8" s="55" t="n">
        <x:v>0.2824430879813828</x:v>
      </x:c>
      <x:c r="I8" s="55" t="n">
        <x:v>0.569435637285986</x:v>
      </x:c>
      <x:c r="J8" s="56" t="n">
        <x:v>0.5890932149651237</x:v>
      </x:c>
      <x:c r="K8" s="56" t="n">
        <x:v>0.12061741845382157</x:v>
      </x:c>
      <x:c r="L8" s="55"/>
      <x:c r="M8" s="55"/>
      <x:c r="N8" s="55"/>
      <x:c r="O8" s="57"/>
      <x:c r="P8" s="57"/>
      <x:c r="Q8" s="55"/>
      <x:c r="R8" s="54" t="str">
        <x:v>ml/artifacts/model/metrics.json</x:v>
      </x:c>
    </x:row>
    <x:row r="9">
      <x:c r="A9" s="54" t="str">
        <x:v>Ordinal 4-level</x:v>
      </x:c>
      <x:c r="B9" s="54" t="str">
        <x:v>TCN-CORN</x:v>
      </x:c>
      <x:c r="C9" s="54" t="str">
        <x:v>TCN-CORN</x:v>
      </x:c>
      <x:c r="D9" s="54" t="str">
        <x:v>52 blendshapes + temporal deltas</x:v>
      </x:c>
      <x:c r="E9" s="54" t="n">
        <x:v>1729</x:v>
      </x:c>
      <x:c r="F9" s="54" t="str">
        <x:v>Frustration</x:v>
      </x:c>
      <x:c r="G9" s="55" t="n">
        <x:v>0.2378385080348224</x:v>
      </x:c>
      <x:c r="H9" s="55" t="n">
        <x:v>0.25601892713543195</x:v>
      </x:c>
      <x:c r="I9" s="55" t="n">
        <x:v>0.7469879518072289</x:v>
      </x:c>
      <x:c r="J9" s="56" t="n">
        <x:v>0.34559289790741915</x:v>
      </x:c>
      <x:c r="K9" s="56" t="n">
        <x:v>0.058726389426843384</x:v>
      </x:c>
      <x:c r="L9" s="55"/>
      <x:c r="M9" s="55"/>
      <x:c r="N9" s="55"/>
      <x:c r="O9" s="57"/>
      <x:c r="P9" s="57"/>
      <x:c r="Q9" s="55"/>
      <x:c r="R9" s="54" t="str">
        <x:v>ml/artifacts/model/metrics.json</x:v>
      </x:c>
    </x:row>
    <x:row r="10">
      <x:c r="A10" s="54" t="str">
        <x:v>Ordinal 4-level</x:v>
      </x:c>
      <x:c r="B10" s="54" t="str">
        <x:v>TCN-CORN</x:v>
      </x:c>
      <x:c r="C10" s="54" t="str">
        <x:v>TCN-CORN</x:v>
      </x:c>
      <x:c r="D10" s="54" t="str">
        <x:v>52 blendshapes + temporal deltas</x:v>
      </x:c>
      <x:c r="E10" s="54" t="n">
        <x:v>42</x:v>
      </x:c>
      <x:c r="F10" s="54" t="str">
        <x:v>Boredom</x:v>
      </x:c>
      <x:c r="G10" s="55" t="n">
        <x:v>0.3086232963485128</x:v>
      </x:c>
      <x:c r="H10" s="55" t="n">
        <x:v>0.32250036230815304</x:v>
      </x:c>
      <x:c r="I10" s="55" t="n">
        <x:v>0.40710209258084973</x:v>
      </x:c>
      <x:c r="J10" s="56" t="n">
        <x:v>0.7609384908053266</x:v>
      </x:c>
      <x:c r="K10" s="56" t="n">
        <x:v>0.2379747978862743</x:v>
      </x:c>
      <x:c r="L10" s="55"/>
      <x:c r="M10" s="55"/>
      <x:c r="N10" s="55"/>
      <x:c r="O10" s="57"/>
      <x:c r="P10" s="57"/>
      <x:c r="Q10" s="55"/>
      <x:c r="R10" s="54" t="str">
        <x:v>ml/artifacts/model-seed42/metrics.json</x:v>
      </x:c>
    </x:row>
    <x:row r="11">
      <x:c r="A11" s="54" t="str">
        <x:v>Ordinal 4-level</x:v>
      </x:c>
      <x:c r="B11" s="54" t="str">
        <x:v>TCN-CORN</x:v>
      </x:c>
      <x:c r="C11" s="54" t="str">
        <x:v>TCN-CORN</x:v>
      </x:c>
      <x:c r="D11" s="54" t="str">
        <x:v>52 blendshapes + temporal deltas</x:v>
      </x:c>
      <x:c r="E11" s="54" t="n">
        <x:v>42</x:v>
      </x:c>
      <x:c r="F11" s="54" t="str">
        <x:v>Engagement</x:v>
      </x:c>
      <x:c r="G11" s="55" t="n">
        <x:v>0.30846452642506234</x:v>
      </x:c>
      <x:c r="H11" s="55" t="n">
        <x:v>0.3126826010071887</x:v>
      </x:c>
      <x:c r="I11" s="55" t="n">
        <x:v>0.5282181357006975</x:v>
      </x:c>
      <x:c r="J11" s="56" t="n">
        <x:v>0.501585288522511</x:v>
      </x:c>
      <x:c r="K11" s="56" t="n">
        <x:v>0.19251132840448382</x:v>
      </x:c>
      <x:c r="L11" s="55"/>
      <x:c r="M11" s="55"/>
      <x:c r="N11" s="55"/>
      <x:c r="O11" s="57"/>
      <x:c r="P11" s="57"/>
      <x:c r="Q11" s="55"/>
      <x:c r="R11" s="54" t="str">
        <x:v>ml/artifacts/model-seed42/metrics.json</x:v>
      </x:c>
    </x:row>
    <x:row r="12">
      <x:c r="A12" s="54" t="str">
        <x:v>Ordinal 4-level</x:v>
      </x:c>
      <x:c r="B12" s="54" t="str">
        <x:v>TCN-CORN</x:v>
      </x:c>
      <x:c r="C12" s="54" t="str">
        <x:v>TCN-CORN</x:v>
      </x:c>
      <x:c r="D12" s="54" t="str">
        <x:v>52 blendshapes + temporal deltas</x:v>
      </x:c>
      <x:c r="E12" s="54" t="n">
        <x:v>42</x:v>
      </x:c>
      <x:c r="F12" s="54" t="str">
        <x:v>Confusion</x:v>
      </x:c>
      <x:c r="G12" s="55" t="n">
        <x:v>0.27021890180287933</x:v>
      </x:c>
      <x:c r="H12" s="55" t="n">
        <x:v>0.28475724420088583</x:v>
      </x:c>
      <x:c r="I12" s="55" t="n">
        <x:v>0.5396322130627774</x:v>
      </x:c>
      <x:c r="J12" s="56" t="n">
        <x:v>0.6423589093214965</x:v>
      </x:c>
      <x:c r="K12" s="56" t="n">
        <x:v>0.11038668035601029</x:v>
      </x:c>
      <x:c r="L12" s="55"/>
      <x:c r="M12" s="55"/>
      <x:c r="N12" s="55"/>
      <x:c r="O12" s="57"/>
      <x:c r="P12" s="57"/>
      <x:c r="Q12" s="55"/>
      <x:c r="R12" s="54" t="str">
        <x:v>ml/artifacts/model-seed42/metrics.json</x:v>
      </x:c>
    </x:row>
    <x:row r="13">
      <x:c r="A13" s="54" t="str">
        <x:v>Ordinal 4-level</x:v>
      </x:c>
      <x:c r="B13" s="54" t="str">
        <x:v>TCN-CORN</x:v>
      </x:c>
      <x:c r="C13" s="54" t="str">
        <x:v>TCN-CORN</x:v>
      </x:c>
      <x:c r="D13" s="54" t="str">
        <x:v>52 blendshapes + temporal deltas</x:v>
      </x:c>
      <x:c r="E13" s="54" t="n">
        <x:v>42</x:v>
      </x:c>
      <x:c r="F13" s="54" t="str">
        <x:v>Frustration</x:v>
      </x:c>
      <x:c r="G13" s="55" t="n">
        <x:v>0.2726064058941964</x:v>
      </x:c>
      <x:c r="H13" s="55" t="n">
        <x:v>0.2786236147886633</x:v>
      </x:c>
      <x:c r="I13" s="55" t="n">
        <x:v>0.6594800253646164</x:v>
      </x:c>
      <x:c r="J13" s="56" t="n">
        <x:v>0.4331008243500317</x:v>
      </x:c>
      <x:c r="K13" s="56" t="n">
        <x:v>0.10326959768685817</x:v>
      </x:c>
      <x:c r="L13" s="55"/>
      <x:c r="M13" s="55"/>
      <x:c r="N13" s="55"/>
      <x:c r="O13" s="57"/>
      <x:c r="P13" s="57"/>
      <x:c r="Q13" s="55"/>
      <x:c r="R13" s="54" t="str">
        <x:v>ml/artifacts/model-seed42/metrics.json</x:v>
      </x:c>
    </x:row>
    <x:row r="14">
      <x:c r="A14" s="54" t="str">
        <x:v>Ordinal 4-level</x:v>
      </x:c>
      <x:c r="B14" s="54" t="str">
        <x:v>BiLSTM-CORN</x:v>
      </x:c>
      <x:c r="C14" s="54" t="str">
        <x:v>BiLSTM-CORN</x:v>
      </x:c>
      <x:c r="D14" s="54" t="str">
        <x:v>52 blendshapes + temporal deltas</x:v>
      </x:c>
      <x:c r="E14" s="54" t="n">
        <x:v>1729</x:v>
      </x:c>
      <x:c r="F14" s="54" t="str">
        <x:v>Boredom</x:v>
      </x:c>
      <x:c r="G14" s="55" t="n">
        <x:v>0.3249756821377881</x:v>
      </x:c>
      <x:c r="H14" s="55" t="n">
        <x:v>0.33806522316258464</x:v>
      </x:c>
      <x:c r="I14" s="55" t="n">
        <x:v>0.4109067850348763</x:v>
      </x:c>
      <x:c r="J14" s="56" t="n">
        <x:v>0.7666455294863666</x:v>
      </x:c>
      <x:c r="K14" s="56" t="n">
        <x:v>0.24191186461148273</x:v>
      </x:c>
      <x:c r="L14" s="55"/>
      <x:c r="M14" s="55"/>
      <x:c r="N14" s="55"/>
      <x:c r="O14" s="57"/>
      <x:c r="P14" s="57"/>
      <x:c r="Q14" s="55"/>
      <x:c r="R14" s="54" t="str">
        <x:v>ml/artifacts/model-lstm/metrics.json</x:v>
      </x:c>
    </x:row>
    <x:row r="15">
      <x:c r="A15" s="54" t="str">
        <x:v>Ordinal 4-level</x:v>
      </x:c>
      <x:c r="B15" s="54" t="str">
        <x:v>BiLSTM-CORN</x:v>
      </x:c>
      <x:c r="C15" s="54" t="str">
        <x:v>BiLSTM-CORN</x:v>
      </x:c>
      <x:c r="D15" s="54" t="str">
        <x:v>52 blendshapes + temporal deltas</x:v>
      </x:c>
      <x:c r="E15" s="54" t="n">
        <x:v>1729</x:v>
      </x:c>
      <x:c r="F15" s="54" t="str">
        <x:v>Engagement</x:v>
      </x:c>
      <x:c r="G15" s="55" t="n">
        <x:v>0.31099732176371186</x:v>
      </x:c>
      <x:c r="H15" s="55" t="n">
        <x:v>0.3058158420789605</x:v>
      </x:c>
      <x:c r="I15" s="55" t="n">
        <x:v>0.5206087507926442</x:v>
      </x:c>
      <x:c r="J15" s="56" t="n">
        <x:v>0.5199746353836399</x:v>
      </x:c>
      <x:c r="K15" s="56" t="n">
        <x:v>0.1893109540636042</x:v>
      </x:c>
      <x:c r="L15" s="55"/>
      <x:c r="M15" s="55"/>
      <x:c r="N15" s="55"/>
      <x:c r="O15" s="57"/>
      <x:c r="P15" s="57"/>
      <x:c r="Q15" s="55"/>
      <x:c r="R15" s="54" t="str">
        <x:v>ml/artifacts/model-lstm/metrics.json</x:v>
      </x:c>
    </x:row>
    <x:row r="16">
      <x:c r="A16" s="54" t="str">
        <x:v>Ordinal 4-level</x:v>
      </x:c>
      <x:c r="B16" s="54" t="str">
        <x:v>BiLSTM-CORN</x:v>
      </x:c>
      <x:c r="C16" s="54" t="str">
        <x:v>BiLSTM-CORN</x:v>
      </x:c>
      <x:c r="D16" s="54" t="str">
        <x:v>52 blendshapes + temporal deltas</x:v>
      </x:c>
      <x:c r="E16" s="54" t="n">
        <x:v>1729</x:v>
      </x:c>
      <x:c r="F16" s="54" t="str">
        <x:v>Confusion</x:v>
      </x:c>
      <x:c r="G16" s="55" t="n">
        <x:v>0.2666270394104999</x:v>
      </x:c>
      <x:c r="H16" s="55" t="n">
        <x:v>0.2909827527963366</x:v>
      </x:c>
      <x:c r="I16" s="55" t="n">
        <x:v>0.5136334812935954</x:v>
      </x:c>
      <x:c r="J16" s="56" t="n">
        <x:v>0.7019657577679138</x:v>
      </x:c>
      <x:c r="K16" s="56" t="n">
        <x:v>0.09650785453990651</x:v>
      </x:c>
      <x:c r="L16" s="55"/>
      <x:c r="M16" s="55"/>
      <x:c r="N16" s="55"/>
      <x:c r="O16" s="57"/>
      <x:c r="P16" s="57"/>
      <x:c r="Q16" s="55"/>
      <x:c r="R16" s="54" t="str">
        <x:v>ml/artifacts/model-lstm/metrics.json</x:v>
      </x:c>
    </x:row>
    <x:row r="17">
      <x:c r="A17" s="54" t="str">
        <x:v>Ordinal 4-level</x:v>
      </x:c>
      <x:c r="B17" s="54" t="str">
        <x:v>BiLSTM-CORN</x:v>
      </x:c>
      <x:c r="C17" s="54" t="str">
        <x:v>BiLSTM-CORN</x:v>
      </x:c>
      <x:c r="D17" s="54" t="str">
        <x:v>52 blendshapes + temporal deltas</x:v>
      </x:c>
      <x:c r="E17" s="54" t="n">
        <x:v>1729</x:v>
      </x:c>
      <x:c r="F17" s="54" t="str">
        <x:v>Frustration</x:v>
      </x:c>
      <x:c r="G17" s="55" t="n">
        <x:v>0.27319580254257797</x:v>
      </x:c>
      <x:c r="H17" s="55" t="n">
        <x:v>0.2867152512176784</x:v>
      </x:c>
      <x:c r="I17" s="55" t="n">
        <x:v>0.6220672162333545</x:v>
      </x:c>
      <x:c r="J17" s="56" t="n">
        <x:v>0.4705136334812936</x:v>
      </x:c>
      <x:c r="K17" s="56" t="n">
        <x:v>0.12012192815443379</x:v>
      </x:c>
      <x:c r="L17" s="55"/>
      <x:c r="M17" s="55"/>
      <x:c r="N17" s="55"/>
      <x:c r="O17" s="57"/>
      <x:c r="P17" s="57"/>
      <x:c r="Q17" s="55"/>
      <x:c r="R17" s="54" t="str">
        <x:v>ml/artifacts/model-lstm/metrics.json</x:v>
      </x:c>
    </x:row>
    <x:row r="18">
      <x:c r="A18" s="54" t="str">
        <x:v>Ordinal 4-level</x:v>
      </x:c>
      <x:c r="B18" s="54" t="str">
        <x:v>Logistic Regression</x:v>
      </x:c>
      <x:c r="C18" s="54" t="str">
        <x:v>Logistic Regression</x:v>
      </x:c>
      <x:c r="D18" s="54" t="str">
        <x:v>364 blendshape + 84 behaviour statistics</x:v>
      </x:c>
      <x:c r="E18" s="54" t="n">
        <x:v>1729</x:v>
      </x:c>
      <x:c r="F18" s="54" t="str">
        <x:v>Boredom</x:v>
      </x:c>
      <x:c r="G18" s="55" t="n">
        <x:v>0.2827694341333903</x:v>
      </x:c>
      <x:c r="H18" s="55" t="n">
        <x:v>0.29687052111241213</x:v>
      </x:c>
      <x:c r="I18" s="55" t="n">
        <x:v>0.362714013950539</x:v>
      </x:c>
      <x:c r="J18" s="56" t="n">
        <x:v>0.8852251109701966</x:v>
      </x:c>
      <x:c r="K18" s="56" t="n">
        <x:v>0.20620368689452584</x:v>
      </x:c>
      <x:c r="L18" s="55"/>
      <x:c r="M18" s="55"/>
      <x:c r="N18" s="55"/>
      <x:c r="O18" s="57"/>
      <x:c r="P18" s="57"/>
      <x:c r="Q18" s="55"/>
      <x:c r="R18" s="54" t="str">
        <x:v>ml/artifacts/model-classical-ordinal-logistic_regression-seed1729/metrics.json</x:v>
      </x:c>
    </x:row>
    <x:row r="19">
      <x:c r="A19" s="54" t="str">
        <x:v>Ordinal 4-level</x:v>
      </x:c>
      <x:c r="B19" s="54" t="str">
        <x:v>Logistic Regression</x:v>
      </x:c>
      <x:c r="C19" s="54" t="str">
        <x:v>Logistic Regression</x:v>
      </x:c>
      <x:c r="D19" s="54" t="str">
        <x:v>364 blendshape + 84 behaviour statistics</x:v>
      </x:c>
      <x:c r="E19" s="54" t="n">
        <x:v>1729</x:v>
      </x:c>
      <x:c r="F19" s="54" t="str">
        <x:v>Engagement</x:v>
      </x:c>
      <x:c r="G19" s="55" t="n">
        <x:v>0.29791593110072745</x:v>
      </x:c>
      <x:c r="H19" s="55" t="n">
        <x:v>0.3771447609528569</x:v>
      </x:c>
      <x:c r="I19" s="55" t="n">
        <x:v>0.4559289790741915</x:v>
      </x:c>
      <x:c r="J19" s="56" t="n">
        <x:v>0.647431832593532</x:v>
      </x:c>
      <x:c r="K19" s="56" t="n">
        <x:v>0.15440729483282678</x:v>
      </x:c>
      <x:c r="L19" s="55"/>
      <x:c r="M19" s="55"/>
      <x:c r="N19" s="55"/>
      <x:c r="O19" s="57"/>
      <x:c r="P19" s="57"/>
      <x:c r="Q19" s="55"/>
      <x:c r="R19" s="54" t="str">
        <x:v>ml/artifacts/model-classical-ordinal-logistic_regression-seed1729/metrics.json</x:v>
      </x:c>
    </x:row>
    <x:row r="20">
      <x:c r="A20" s="54" t="str">
        <x:v>Ordinal 4-level</x:v>
      </x:c>
      <x:c r="B20" s="54" t="str">
        <x:v>Logistic Regression</x:v>
      </x:c>
      <x:c r="C20" s="54" t="str">
        <x:v>Logistic Regression</x:v>
      </x:c>
      <x:c r="D20" s="54" t="str">
        <x:v>364 blendshape + 84 behaviour statistics</x:v>
      </x:c>
      <x:c r="E20" s="54" t="n">
        <x:v>1729</x:v>
      </x:c>
      <x:c r="F20" s="54" t="str">
        <x:v>Confusion</x:v>
      </x:c>
      <x:c r="G20" s="55" t="n">
        <x:v>0.2340664645847541</x:v>
      </x:c>
      <x:c r="H20" s="55" t="n">
        <x:v>0.31033333794286033</x:v>
      </x:c>
      <x:c r="I20" s="55" t="n">
        <x:v>0.3532022828154724</x:v>
      </x:c>
      <x:c r="J20" s="56" t="n">
        <x:v>1.0038046924540267</x:v>
      </x:c>
      <x:c r="K20" s="56" t="n">
        <x:v>0.07115554925106471</x:v>
      </x:c>
      <x:c r="L20" s="55"/>
      <x:c r="M20" s="55"/>
      <x:c r="N20" s="55"/>
      <x:c r="O20" s="57"/>
      <x:c r="P20" s="57"/>
      <x:c r="Q20" s="55"/>
      <x:c r="R20" s="54" t="str">
        <x:v>ml/artifacts/model-classical-ordinal-logistic_regression-seed1729/metrics.json</x:v>
      </x:c>
    </x:row>
    <x:row r="21">
      <x:c r="A21" s="54" t="str">
        <x:v>Ordinal 4-level</x:v>
      </x:c>
      <x:c r="B21" s="54" t="str">
        <x:v>Logistic Regression</x:v>
      </x:c>
      <x:c r="C21" s="54" t="str">
        <x:v>Logistic Regression</x:v>
      </x:c>
      <x:c r="D21" s="54" t="str">
        <x:v>364 blendshape + 84 behaviour statistics</x:v>
      </x:c>
      <x:c r="E21" s="54" t="n">
        <x:v>1729</x:v>
      </x:c>
      <x:c r="F21" s="54" t="str">
        <x:v>Frustration</x:v>
      </x:c>
      <x:c r="G21" s="55" t="n">
        <x:v>0.23374643002855977</x:v>
      </x:c>
      <x:c r="H21" s="55" t="n">
        <x:v>0.2553089552482756</x:v>
      </x:c>
      <x:c r="I21" s="55" t="n">
        <x:v>0.4629042485732403</x:v>
      </x:c>
      <x:c r="J21" s="56" t="n">
        <x:v>0.7736207989854154</x:v>
      </x:c>
      <x:c r="K21" s="56" t="n">
        <x:v>0.025139089223160993</x:v>
      </x:c>
      <x:c r="L21" s="55"/>
      <x:c r="M21" s="55"/>
      <x:c r="N21" s="55"/>
      <x:c r="O21" s="57"/>
      <x:c r="P21" s="57"/>
      <x:c r="Q21" s="55"/>
      <x:c r="R21" s="54" t="str">
        <x:v>ml/artifacts/model-classical-ordinal-logistic_regression-seed1729/metrics.json</x:v>
      </x:c>
    </x:row>
    <x:row r="22">
      <x:c r="A22" s="54" t="str">
        <x:v>Ordinal 4-level</x:v>
      </x:c>
      <x:c r="B22" s="54" t="str">
        <x:v>Linear SVM</x:v>
      </x:c>
      <x:c r="C22" s="54" t="str">
        <x:v>Linear SVM</x:v>
      </x:c>
      <x:c r="D22" s="54" t="str">
        <x:v>364 blendshape + 84 behaviour statistics</x:v>
      </x:c>
      <x:c r="E22" s="54" t="n">
        <x:v>1729</x:v>
      </x:c>
      <x:c r="F22" s="54" t="str">
        <x:v>Boredom</x:v>
      </x:c>
      <x:c r="G22" s="55" t="n">
        <x:v>0.2839052734570381</x:v>
      </x:c>
      <x:c r="H22" s="55" t="n">
        <x:v>0.2948211416105463</x:v>
      </x:c>
      <x:c r="I22" s="55" t="n">
        <x:v>0.3842739378566899</x:v>
      </x:c>
      <x:c r="J22" s="56" t="n">
        <x:v>0.8484464172479391</x:v>
      </x:c>
      <x:c r="K22" s="56" t="n">
        <x:v>0.21638062478444764</x:v>
      </x:c>
      <x:c r="L22" s="55"/>
      <x:c r="M22" s="55"/>
      <x:c r="N22" s="55"/>
      <x:c r="O22" s="57"/>
      <x:c r="P22" s="57"/>
      <x:c r="Q22" s="55"/>
      <x:c r="R22" s="54" t="str">
        <x:v>ml/artifacts/model-classical-ordinal-linear_svm-seed1729/metrics.json</x:v>
      </x:c>
    </x:row>
    <x:row r="23">
      <x:c r="A23" s="54" t="str">
        <x:v>Ordinal 4-level</x:v>
      </x:c>
      <x:c r="B23" s="54" t="str">
        <x:v>Linear SVM</x:v>
      </x:c>
      <x:c r="C23" s="54" t="str">
        <x:v>Linear SVM</x:v>
      </x:c>
      <x:c r="D23" s="54" t="str">
        <x:v>364 blendshape + 84 behaviour statistics</x:v>
      </x:c>
      <x:c r="E23" s="54" t="n">
        <x:v>1729</x:v>
      </x:c>
      <x:c r="F23" s="54" t="str">
        <x:v>Engagement</x:v>
      </x:c>
      <x:c r="G23" s="55" t="n">
        <x:v>0.3076017448737822</x:v>
      </x:c>
      <x:c r="H23" s="55" t="n">
        <x:v>0.3771287433206474</x:v>
      </x:c>
      <x:c r="I23" s="55" t="n">
        <x:v>0.4749524413443247</x:v>
      </x:c>
      <x:c r="J23" s="56" t="n">
        <x:v>0.6163601775523145</x:v>
      </x:c>
      <x:c r="K23" s="56" t="n">
        <x:v>0.1790747141717628</x:v>
      </x:c>
      <x:c r="L23" s="55"/>
      <x:c r="M23" s="55"/>
      <x:c r="N23" s="55"/>
      <x:c r="O23" s="57"/>
      <x:c r="P23" s="57"/>
      <x:c r="Q23" s="55"/>
      <x:c r="R23" s="54" t="str">
        <x:v>ml/artifacts/model-classical-ordinal-linear_svm-seed1729/metrics.json</x:v>
      </x:c>
    </x:row>
    <x:row r="24">
      <x:c r="A24" s="54" t="str">
        <x:v>Ordinal 4-level</x:v>
      </x:c>
      <x:c r="B24" s="54" t="str">
        <x:v>Linear SVM</x:v>
      </x:c>
      <x:c r="C24" s="54" t="str">
        <x:v>Linear SVM</x:v>
      </x:c>
      <x:c r="D24" s="54" t="str">
        <x:v>364 blendshape + 84 behaviour statistics</x:v>
      </x:c>
      <x:c r="E24" s="54" t="n">
        <x:v>1729</x:v>
      </x:c>
      <x:c r="F24" s="54" t="str">
        <x:v>Confusion</x:v>
      </x:c>
      <x:c r="G24" s="55" t="n">
        <x:v>0.28988073787720037</x:v>
      </x:c>
      <x:c r="H24" s="55" t="n">
        <x:v>0.35187943996222826</x:v>
      </x:c>
      <x:c r="I24" s="55" t="n">
        <x:v>0.5161699429296132</x:v>
      </x:c>
      <x:c r="J24" s="56" t="n">
        <x:v>0.7444514901712111</x:v>
      </x:c>
      <x:c r="K24" s="56" t="n">
        <x:v>0.16582145425710437</x:v>
      </x:c>
      <x:c r="L24" s="55"/>
      <x:c r="M24" s="55"/>
      <x:c r="N24" s="55"/>
      <x:c r="O24" s="57"/>
      <x:c r="P24" s="57"/>
      <x:c r="Q24" s="55"/>
      <x:c r="R24" s="54" t="str">
        <x:v>ml/artifacts/model-classical-ordinal-linear_svm-seed1729/metrics.json</x:v>
      </x:c>
    </x:row>
    <x:row r="25">
      <x:c r="A25" s="54" t="str">
        <x:v>Ordinal 4-level</x:v>
      </x:c>
      <x:c r="B25" s="54" t="str">
        <x:v>Linear SVM</x:v>
      </x:c>
      <x:c r="C25" s="54" t="str">
        <x:v>Linear SVM</x:v>
      </x:c>
      <x:c r="D25" s="54" t="str">
        <x:v>364 blendshape + 84 behaviour statistics</x:v>
      </x:c>
      <x:c r="E25" s="54" t="n">
        <x:v>1729</x:v>
      </x:c>
      <x:c r="F25" s="54" t="str">
        <x:v>Frustration</x:v>
      </x:c>
      <x:c r="G25" s="55" t="n">
        <x:v>0.26180220325960524</x:v>
      </x:c>
      <x:c r="H25" s="55" t="n">
        <x:v>0.26269061979013436</x:v>
      </x:c>
      <x:c r="I25" s="55" t="n">
        <x:v>0.6258719086873811</x:v>
      </x:c>
      <x:c r="J25" s="56" t="n">
        <x:v>0.5611921369689283</x:v>
      </x:c>
      <x:c r="K25" s="56" t="n">
        <x:v>0.07007342606726175</x:v>
      </x:c>
      <x:c r="L25" s="55"/>
      <x:c r="M25" s="55"/>
      <x:c r="N25" s="55"/>
      <x:c r="O25" s="57"/>
      <x:c r="P25" s="57"/>
      <x:c r="Q25" s="55"/>
      <x:c r="R25" s="54" t="str">
        <x:v>ml/artifacts/model-classical-ordinal-linear_svm-seed1729/metrics.json</x:v>
      </x:c>
    </x:row>
    <x:row r="26">
      <x:c r="A26" s="54" t="str">
        <x:v>Ordinal 4-level</x:v>
      </x:c>
      <x:c r="B26" s="54" t="str">
        <x:v>Random Forest</x:v>
      </x:c>
      <x:c r="C26" s="54" t="str">
        <x:v>Random Forest</x:v>
      </x:c>
      <x:c r="D26" s="54" t="str">
        <x:v>364 blendshape + 84 behaviour statistics</x:v>
      </x:c>
      <x:c r="E26" s="54" t="n">
        <x:v>1729</x:v>
      </x:c>
      <x:c r="F26" s="54" t="str">
        <x:v>Boredom</x:v>
      </x:c>
      <x:c r="G26" s="55" t="n">
        <x:v>0.3012449929511942</x:v>
      </x:c>
      <x:c r="H26" s="55" t="n">
        <x:v>0.3105988707955688</x:v>
      </x:c>
      <x:c r="I26" s="55" t="n">
        <x:v>0.4749524413443247</x:v>
      </x:c>
      <x:c r="J26" s="56" t="n">
        <x:v>0.7266962587190868</x:v>
      </x:c>
      <x:c r="K26" s="56" t="n">
        <x:v>0.15907281019470487</x:v>
      </x:c>
      <x:c r="L26" s="55"/>
      <x:c r="M26" s="55"/>
      <x:c r="N26" s="55"/>
      <x:c r="O26" s="57"/>
      <x:c r="P26" s="57"/>
      <x:c r="Q26" s="55"/>
      <x:c r="R26" s="54" t="str">
        <x:v>ml/artifacts/model-classical-ordinal-random_forest-seed1729/metrics.json</x:v>
      </x:c>
    </x:row>
    <x:row r="27">
      <x:c r="A27" s="54" t="str">
        <x:v>Ordinal 4-level</x:v>
      </x:c>
      <x:c r="B27" s="54" t="str">
        <x:v>Random Forest</x:v>
      </x:c>
      <x:c r="C27" s="54" t="str">
        <x:v>Random Forest</x:v>
      </x:c>
      <x:c r="D27" s="54" t="str">
        <x:v>364 blendshape + 84 behaviour statistics</x:v>
      </x:c>
      <x:c r="E27" s="54" t="n">
        <x:v>1729</x:v>
      </x:c>
      <x:c r="F27" s="54" t="str">
        <x:v>Engagement</x:v>
      </x:c>
      <x:c r="G27" s="55" t="n">
        <x:v>0.23716540174258455</x:v>
      </x:c>
      <x:c r="H27" s="55" t="n">
        <x:v>0.2622438780609695</x:v>
      </x:c>
      <x:c r="I27" s="55" t="n">
        <x:v>0.5294863665187064</x:v>
      </x:c>
      <x:c r="J27" s="56" t="n">
        <x:v>0.47368421052631576</x:v>
      </x:c>
      <x:c r="K27" s="56" t="n">
        <x:v>0.09077691383778996</x:v>
      </x:c>
      <x:c r="L27" s="55"/>
      <x:c r="M27" s="55"/>
      <x:c r="N27" s="55"/>
      <x:c r="O27" s="57"/>
      <x:c r="P27" s="57"/>
      <x:c r="Q27" s="55"/>
      <x:c r="R27" s="54" t="str">
        <x:v>ml/artifacts/model-classical-ordinal-random_forest-seed1729/metrics.json</x:v>
      </x:c>
    </x:row>
    <x:row r="28">
      <x:c r="A28" s="54" t="str">
        <x:v>Ordinal 4-level</x:v>
      </x:c>
      <x:c r="B28" s="54" t="str">
        <x:v>Random Forest</x:v>
      </x:c>
      <x:c r="C28" s="54" t="str">
        <x:v>Random Forest</x:v>
      </x:c>
      <x:c r="D28" s="54" t="str">
        <x:v>364 blendshape + 84 behaviour statistics</x:v>
      </x:c>
      <x:c r="E28" s="54" t="n">
        <x:v>1729</x:v>
      </x:c>
      <x:c r="F28" s="54" t="str">
        <x:v>Confusion</x:v>
      </x:c>
      <x:c r="G28" s="55" t="n">
        <x:v>0.2054538662682107</x:v>
      </x:c>
      <x:c r="H28" s="55" t="n">
        <x:v>0.25</x:v>
      </x:c>
      <x:c r="I28" s="55" t="n">
        <x:v>0.6975269499048827</x:v>
      </x:c>
      <x:c r="J28" s="56" t="n">
        <x:v>0.39759036144578314</x:v>
      </x:c>
      <x:c r="K28" s="56" t="n">
        <x:v>0</x:v>
      </x:c>
      <x:c r="L28" s="55"/>
      <x:c r="M28" s="55"/>
      <x:c r="N28" s="55"/>
      <x:c r="O28" s="57"/>
      <x:c r="P28" s="57"/>
      <x:c r="Q28" s="55"/>
      <x:c r="R28" s="54" t="str">
        <x:v>ml/artifacts/model-classical-ordinal-random_forest-seed1729/metrics.json</x:v>
      </x:c>
    </x:row>
    <x:row r="29">
      <x:c r="A29" s="54" t="str">
        <x:v>Ordinal 4-level</x:v>
      </x:c>
      <x:c r="B29" s="54" t="str">
        <x:v>Random Forest</x:v>
      </x:c>
      <x:c r="C29" s="54" t="str">
        <x:v>Random Forest</x:v>
      </x:c>
      <x:c r="D29" s="54" t="str">
        <x:v>364 blendshape + 84 behaviour statistics</x:v>
      </x:c>
      <x:c r="E29" s="54" t="n">
        <x:v>1729</x:v>
      </x:c>
      <x:c r="F29" s="54" t="str">
        <x:v>Frustration</x:v>
      </x:c>
      <x:c r="G29" s="55" t="n">
        <x:v>0.21969427657305368</x:v>
      </x:c>
      <x:c r="H29" s="55" t="n">
        <x:v>0.25</x:v>
      </x:c>
      <x:c r="I29" s="55" t="n">
        <x:v>0.7837666455294864</x:v>
      </x:c>
      <x:c r="J29" s="56" t="n">
        <x:v>0.2796448953709575</x:v>
      </x:c>
      <x:c r="K29" s="56" t="n">
        <x:v>0</x:v>
      </x:c>
      <x:c r="L29" s="55"/>
      <x:c r="M29" s="55"/>
      <x:c r="N29" s="55"/>
      <x:c r="O29" s="57"/>
      <x:c r="P29" s="57"/>
      <x:c r="Q29" s="55"/>
      <x:c r="R29" s="54" t="str">
        <x:v>ml/artifacts/model-classical-ordinal-random_forest-seed1729/metrics.json</x:v>
      </x:c>
    </x:row>
    <x:row r="30">
      <x:c r="A30" s="54" t="str">
        <x:v>Ordinal 4-level</x:v>
      </x:c>
      <x:c r="B30" s="54" t="str">
        <x:v>Random Forest</x:v>
      </x:c>
      <x:c r="C30" s="54" t="str">
        <x:v>Random Forest</x:v>
      </x:c>
      <x:c r="D30" s="54" t="str">
        <x:v>364 blendshape + 84 behaviour statistics</x:v>
      </x:c>
      <x:c r="E30" s="54" t="n">
        <x:v>42</x:v>
      </x:c>
      <x:c r="F30" s="54" t="str">
        <x:v>Boredom</x:v>
      </x:c>
      <x:c r="G30" s="55" t="n">
        <x:v>0.29461732428854503</x:v>
      </x:c>
      <x:c r="H30" s="55" t="n">
        <x:v>0.30478739030826757</x:v>
      </x:c>
      <x:c r="I30" s="55" t="n">
        <x:v>0.4679771718452758</x:v>
      </x:c>
      <x:c r="J30" s="56" t="n">
        <x:v>0.7400126823081801</x:v>
      </x:c>
      <x:c r="K30" s="56" t="n">
        <x:v>0.13619172982402195</x:v>
      </x:c>
      <x:c r="L30" s="55"/>
      <x:c r="M30" s="55"/>
      <x:c r="N30" s="55"/>
      <x:c r="O30" s="57"/>
      <x:c r="P30" s="57"/>
      <x:c r="Q30" s="55"/>
      <x:c r="R30" s="54" t="str">
        <x:v>ml/artifacts/model-classical-ordinal-random_forest-seed42/metrics.json</x:v>
      </x:c>
    </x:row>
    <x:row r="31">
      <x:c r="A31" s="54" t="str">
        <x:v>Ordinal 4-level</x:v>
      </x:c>
      <x:c r="B31" s="54" t="str">
        <x:v>Random Forest</x:v>
      </x:c>
      <x:c r="C31" s="54" t="str">
        <x:v>Random Forest</x:v>
      </x:c>
      <x:c r="D31" s="54" t="str">
        <x:v>364 blendshape + 84 behaviour statistics</x:v>
      </x:c>
      <x:c r="E31" s="54" t="n">
        <x:v>42</x:v>
      </x:c>
      <x:c r="F31" s="54" t="str">
        <x:v>Engagement</x:v>
      </x:c>
      <x:c r="G31" s="55" t="n">
        <x:v>0.24210887874468684</x:v>
      </x:c>
      <x:c r="H31" s="55" t="n">
        <x:v>0.2640138264201233</x:v>
      </x:c>
      <x:c r="I31" s="55" t="n">
        <x:v>0.5307545973367153</x:v>
      </x:c>
      <x:c r="J31" s="56" t="n">
        <x:v>0.4749524413443247</x:v>
      </x:c>
      <x:c r="K31" s="56" t="n">
        <x:v>0.08856088560885589</x:v>
      </x:c>
      <x:c r="L31" s="55"/>
      <x:c r="M31" s="55"/>
      <x:c r="N31" s="55"/>
      <x:c r="O31" s="57"/>
      <x:c r="P31" s="57"/>
      <x:c r="Q31" s="55"/>
      <x:c r="R31" s="54" t="str">
        <x:v>ml/artifacts/model-classical-ordinal-random_forest-seed42/metrics.json</x:v>
      </x:c>
    </x:row>
    <x:row r="32">
      <x:c r="A32" s="54" t="str">
        <x:v>Ordinal 4-level</x:v>
      </x:c>
      <x:c r="B32" s="54" t="str">
        <x:v>Random Forest</x:v>
      </x:c>
      <x:c r="C32" s="54" t="str">
        <x:v>Random Forest</x:v>
      </x:c>
      <x:c r="D32" s="54" t="str">
        <x:v>364 blendshape + 84 behaviour statistics</x:v>
      </x:c>
      <x:c r="E32" s="54" t="n">
        <x:v>42</x:v>
      </x:c>
      <x:c r="F32" s="54" t="str">
        <x:v>Confusion</x:v>
      </x:c>
      <x:c r="G32" s="55" t="n">
        <x:v>0.2054538662682107</x:v>
      </x:c>
      <x:c r="H32" s="55" t="n">
        <x:v>0.25</x:v>
      </x:c>
      <x:c r="I32" s="55" t="n">
        <x:v>0.6975269499048827</x:v>
      </x:c>
      <x:c r="J32" s="56" t="n">
        <x:v>0.39759036144578314</x:v>
      </x:c>
      <x:c r="K32" s="56" t="n">
        <x:v>0</x:v>
      </x:c>
      <x:c r="L32" s="55"/>
      <x:c r="M32" s="55"/>
      <x:c r="N32" s="55"/>
      <x:c r="O32" s="57"/>
      <x:c r="P32" s="57"/>
      <x:c r="Q32" s="55"/>
      <x:c r="R32" s="54" t="str">
        <x:v>ml/artifacts/model-classical-ordinal-random_forest-seed42/metrics.json</x:v>
      </x:c>
    </x:row>
    <x:row r="33">
      <x:c r="A33" s="54" t="str">
        <x:v>Ordinal 4-level</x:v>
      </x:c>
      <x:c r="B33" s="54" t="str">
        <x:v>Random Forest</x:v>
      </x:c>
      <x:c r="C33" s="54" t="str">
        <x:v>Random Forest</x:v>
      </x:c>
      <x:c r="D33" s="54" t="str">
        <x:v>364 blendshape + 84 behaviour statistics</x:v>
      </x:c>
      <x:c r="E33" s="54" t="n">
        <x:v>42</x:v>
      </x:c>
      <x:c r="F33" s="54" t="str">
        <x:v>Frustration</x:v>
      </x:c>
      <x:c r="G33" s="55" t="n">
        <x:v>0.21969427657305368</x:v>
      </x:c>
      <x:c r="H33" s="55" t="n">
        <x:v>0.25</x:v>
      </x:c>
      <x:c r="I33" s="55" t="n">
        <x:v>0.7837666455294864</x:v>
      </x:c>
      <x:c r="J33" s="56" t="n">
        <x:v>0.2796448953709575</x:v>
      </x:c>
      <x:c r="K33" s="56" t="n">
        <x:v>0</x:v>
      </x:c>
      <x:c r="L33" s="55"/>
      <x:c r="M33" s="55"/>
      <x:c r="N33" s="55"/>
      <x:c r="O33" s="57"/>
      <x:c r="P33" s="57"/>
      <x:c r="Q33" s="55"/>
      <x:c r="R33" s="54" t="str">
        <x:v>ml/artifacts/model-classical-ordinal-random_forest-seed42/metrics.json</x:v>
      </x:c>
    </x:row>
    <x:row r="34">
      <x:c r="A34" s="54" t="str">
        <x:v>Ordinal 4-level</x:v>
      </x:c>
      <x:c r="B34" s="54" t="str">
        <x:v>Extra Trees</x:v>
      </x:c>
      <x:c r="C34" s="54" t="str">
        <x:v>Extra Trees</x:v>
      </x:c>
      <x:c r="D34" s="54" t="str">
        <x:v>364 blendshape + 84 behaviour statistics</x:v>
      </x:c>
      <x:c r="E34" s="54" t="n">
        <x:v>1729</x:v>
      </x:c>
      <x:c r="F34" s="54" t="str">
        <x:v>Boredom</x:v>
      </x:c>
      <x:c r="G34" s="55" t="n">
        <x:v>0.3019881784329543</x:v>
      </x:c>
      <x:c r="H34" s="55" t="n">
        <x:v>0.3109334019901939</x:v>
      </x:c>
      <x:c r="I34" s="55" t="n">
        <x:v>0.4774889029803424</x:v>
      </x:c>
      <x:c r="J34" s="56" t="n">
        <x:v>0.7070386810399493</x:v>
      </x:c>
      <x:c r="K34" s="56" t="n">
        <x:v>0.1666892550198682</x:v>
      </x:c>
      <x:c r="L34" s="55"/>
      <x:c r="M34" s="55"/>
      <x:c r="N34" s="55"/>
      <x:c r="O34" s="57"/>
      <x:c r="P34" s="57"/>
      <x:c r="Q34" s="55"/>
      <x:c r="R34" s="54" t="str">
        <x:v>ml/artifacts/model-classical-ordinal-extra_trees-seed1729/metrics.json</x:v>
      </x:c>
    </x:row>
    <x:row r="35">
      <x:c r="A35" s="54" t="str">
        <x:v>Ordinal 4-level</x:v>
      </x:c>
      <x:c r="B35" s="54" t="str">
        <x:v>Extra Trees</x:v>
      </x:c>
      <x:c r="C35" s="54" t="str">
        <x:v>Extra Trees</x:v>
      </x:c>
      <x:c r="D35" s="54" t="str">
        <x:v>364 blendshape + 84 behaviour statistics</x:v>
      </x:c>
      <x:c r="E35" s="54" t="n">
        <x:v>1729</x:v>
      </x:c>
      <x:c r="F35" s="54" t="str">
        <x:v>Engagement</x:v>
      </x:c>
      <x:c r="G35" s="55" t="n">
        <x:v>0.24989455305207608</x:v>
      </x:c>
      <x:c r="H35" s="55" t="n">
        <x:v>0.27108320839580213</x:v>
      </x:c>
      <x:c r="I35" s="55" t="n">
        <x:v>0.5440710209258085</x:v>
      </x:c>
      <x:c r="J35" s="56" t="n">
        <x:v>0.4603677869372226</x:v>
      </x:c>
      <x:c r="K35" s="56" t="n">
        <x:v>0.11981970702391409</x:v>
      </x:c>
      <x:c r="L35" s="55"/>
      <x:c r="M35" s="55"/>
      <x:c r="N35" s="55"/>
      <x:c r="O35" s="57"/>
      <x:c r="P35" s="57"/>
      <x:c r="Q35" s="55"/>
      <x:c r="R35" s="54" t="str">
        <x:v>ml/artifacts/model-classical-ordinal-extra_trees-seed1729/metrics.json</x:v>
      </x:c>
    </x:row>
    <x:row r="36">
      <x:c r="A36" s="54" t="str">
        <x:v>Ordinal 4-level</x:v>
      </x:c>
      <x:c r="B36" s="54" t="str">
        <x:v>Extra Trees</x:v>
      </x:c>
      <x:c r="C36" s="54" t="str">
        <x:v>Extra Trees</x:v>
      </x:c>
      <x:c r="D36" s="54" t="str">
        <x:v>364 blendshape + 84 behaviour statistics</x:v>
      </x:c>
      <x:c r="E36" s="54" t="n">
        <x:v>1729</x:v>
      </x:c>
      <x:c r="F36" s="54" t="str">
        <x:v>Confusion</x:v>
      </x:c>
      <x:c r="G36" s="55" t="n">
        <x:v>0.2054538662682107</x:v>
      </x:c>
      <x:c r="H36" s="55" t="n">
        <x:v>0.25</x:v>
      </x:c>
      <x:c r="I36" s="55" t="n">
        <x:v>0.6975269499048827</x:v>
      </x:c>
      <x:c r="J36" s="56" t="n">
        <x:v>0.39759036144578314</x:v>
      </x:c>
      <x:c r="K36" s="56" t="n">
        <x:v>0</x:v>
      </x:c>
      <x:c r="L36" s="55"/>
      <x:c r="M36" s="55"/>
      <x:c r="N36" s="55"/>
      <x:c r="O36" s="57"/>
      <x:c r="P36" s="57"/>
      <x:c r="Q36" s="55"/>
      <x:c r="R36" s="54" t="str">
        <x:v>ml/artifacts/model-classical-ordinal-extra_trees-seed1729/metrics.json</x:v>
      </x:c>
    </x:row>
    <x:row r="37">
      <x:c r="A37" s="54" t="str">
        <x:v>Ordinal 4-level</x:v>
      </x:c>
      <x:c r="B37" s="54" t="str">
        <x:v>Extra Trees</x:v>
      </x:c>
      <x:c r="C37" s="54" t="str">
        <x:v>Extra Trees</x:v>
      </x:c>
      <x:c r="D37" s="54" t="str">
        <x:v>364 blendshape + 84 behaviour statistics</x:v>
      </x:c>
      <x:c r="E37" s="54" t="n">
        <x:v>1729</x:v>
      </x:c>
      <x:c r="F37" s="54" t="str">
        <x:v>Frustration</x:v>
      </x:c>
      <x:c r="G37" s="55" t="n">
        <x:v>0.21969427657305368</x:v>
      </x:c>
      <x:c r="H37" s="55" t="n">
        <x:v>0.25</x:v>
      </x:c>
      <x:c r="I37" s="55" t="n">
        <x:v>0.7837666455294864</x:v>
      </x:c>
      <x:c r="J37" s="56" t="n">
        <x:v>0.2796448953709575</x:v>
      </x:c>
      <x:c r="K37" s="56" t="n">
        <x:v>0</x:v>
      </x:c>
      <x:c r="L37" s="55"/>
      <x:c r="M37" s="55"/>
      <x:c r="N37" s="55"/>
      <x:c r="O37" s="57"/>
      <x:c r="P37" s="57"/>
      <x:c r="Q37" s="55"/>
      <x:c r="R37" s="54" t="str">
        <x:v>ml/artifacts/model-classical-ordinal-extra_trees-seed1729/metrics.json</x:v>
      </x:c>
    </x:row>
    <x:row r="38">
      <x:c r="A38" s="54" t="str">
        <x:v>Ordinal 4-level</x:v>
      </x:c>
      <x:c r="B38" s="54" t="str">
        <x:v>Extra Trees</x:v>
      </x:c>
      <x:c r="C38" s="54" t="str">
        <x:v>Extra Trees</x:v>
      </x:c>
      <x:c r="D38" s="54" t="str">
        <x:v>364 blendshape + 84 behaviour statistics</x:v>
      </x:c>
      <x:c r="E38" s="54" t="n">
        <x:v>42</x:v>
      </x:c>
      <x:c r="F38" s="54" t="str">
        <x:v>Boredom</x:v>
      </x:c>
      <x:c r="G38" s="55" t="n">
        <x:v>0.31372512710718004</x:v>
      </x:c>
      <x:c r="H38" s="55" t="n">
        <x:v>0.3170984802722676</x:v>
      </x:c>
      <x:c r="I38" s="55" t="n">
        <x:v>0.4787571337983513</x:v>
      </x:c>
      <x:c r="J38" s="56" t="n">
        <x:v>0.7000634115409005</x:v>
      </x:c>
      <x:c r="K38" s="56" t="n">
        <x:v>0.17785333370090273</x:v>
      </x:c>
      <x:c r="L38" s="55"/>
      <x:c r="M38" s="55"/>
      <x:c r="N38" s="55"/>
      <x:c r="O38" s="57"/>
      <x:c r="P38" s="57"/>
      <x:c r="Q38" s="55"/>
      <x:c r="R38" s="54" t="str">
        <x:v>ml/artifacts/model-classical-ordinal-extra_trees-seed42/metrics.json</x:v>
      </x:c>
    </x:row>
    <x:row r="39">
      <x:c r="A39" s="54" t="str">
        <x:v>Ordinal 4-level</x:v>
      </x:c>
      <x:c r="B39" s="54" t="str">
        <x:v>Extra Trees</x:v>
      </x:c>
      <x:c r="C39" s="54" t="str">
        <x:v>Extra Trees</x:v>
      </x:c>
      <x:c r="D39" s="54" t="str">
        <x:v>364 blendshape + 84 behaviour statistics</x:v>
      </x:c>
      <x:c r="E39" s="54" t="n">
        <x:v>42</x:v>
      </x:c>
      <x:c r="F39" s="54" t="str">
        <x:v>Engagement</x:v>
      </x:c>
      <x:c r="G39" s="55" t="n">
        <x:v>0.249189098569169</x:v>
      </x:c>
      <x:c r="H39" s="55" t="n">
        <x:v>0.269032150591371</x:v>
      </x:c>
      <x:c r="I39" s="55" t="n">
        <x:v>0.5389980976537729</x:v>
      </x:c>
      <x:c r="J39" s="56" t="n">
        <x:v>0.46480659480025366</x:v>
      </x:c>
      <x:c r="K39" s="56" t="n">
        <x:v>0.1185627996761941</x:v>
      </x:c>
      <x:c r="L39" s="55"/>
      <x:c r="M39" s="55"/>
      <x:c r="N39" s="55"/>
      <x:c r="O39" s="57"/>
      <x:c r="P39" s="57"/>
      <x:c r="Q39" s="55"/>
      <x:c r="R39" s="54" t="str">
        <x:v>ml/artifacts/model-classical-ordinal-extra_trees-seed42/metrics.json</x:v>
      </x:c>
    </x:row>
    <x:row r="40">
      <x:c r="A40" s="54" t="str">
        <x:v>Ordinal 4-level</x:v>
      </x:c>
      <x:c r="B40" s="54" t="str">
        <x:v>Extra Trees</x:v>
      </x:c>
      <x:c r="C40" s="54" t="str">
        <x:v>Extra Trees</x:v>
      </x:c>
      <x:c r="D40" s="54" t="str">
        <x:v>364 blendshape + 84 behaviour statistics</x:v>
      </x:c>
      <x:c r="E40" s="54" t="n">
        <x:v>42</x:v>
      </x:c>
      <x:c r="F40" s="54" t="str">
        <x:v>Confusion</x:v>
      </x:c>
      <x:c r="G40" s="55" t="n">
        <x:v>0.2053437967115097</x:v>
      </x:c>
      <x:c r="H40" s="55" t="n">
        <x:v>0.24977272727272729</x:v>
      </x:c>
      <x:c r="I40" s="55" t="n">
        <x:v>0.6968928344958782</x:v>
      </x:c>
      <x:c r="J40" s="56" t="n">
        <x:v>0.39822447685478757</x:v>
      </x:c>
      <x:c r="K40" s="56" t="n">
        <x:v>-0.000823846614739443</x:v>
      </x:c>
      <x:c r="L40" s="55"/>
      <x:c r="M40" s="55"/>
      <x:c r="N40" s="55"/>
      <x:c r="O40" s="57"/>
      <x:c r="P40" s="57"/>
      <x:c r="Q40" s="55"/>
      <x:c r="R40" s="54" t="str">
        <x:v>ml/artifacts/model-classical-ordinal-extra_trees-seed42/metrics.json</x:v>
      </x:c>
    </x:row>
    <x:row r="41">
      <x:c r="A41" s="54" t="str">
        <x:v>Ordinal 4-level</x:v>
      </x:c>
      <x:c r="B41" s="54" t="str">
        <x:v>Extra Trees</x:v>
      </x:c>
      <x:c r="C41" s="54" t="str">
        <x:v>Extra Trees</x:v>
      </x:c>
      <x:c r="D41" s="54" t="str">
        <x:v>364 blendshape + 84 behaviour statistics</x:v>
      </x:c>
      <x:c r="E41" s="54" t="n">
        <x:v>42</x:v>
      </x:c>
      <x:c r="F41" s="54" t="str">
        <x:v>Frustration</x:v>
      </x:c>
      <x:c r="G41" s="55" t="n">
        <x:v>0.21969427657305368</x:v>
      </x:c>
      <x:c r="H41" s="55" t="n">
        <x:v>0.25</x:v>
      </x:c>
      <x:c r="I41" s="55" t="n">
        <x:v>0.7837666455294864</x:v>
      </x:c>
      <x:c r="J41" s="56" t="n">
        <x:v>0.2796448953709575</x:v>
      </x:c>
      <x:c r="K41" s="56" t="n">
        <x:v>0</x:v>
      </x:c>
      <x:c r="L41" s="55"/>
      <x:c r="M41" s="55"/>
      <x:c r="N41" s="55"/>
      <x:c r="O41" s="57"/>
      <x:c r="P41" s="57"/>
      <x:c r="Q41" s="55"/>
      <x:c r="R41" s="54" t="str">
        <x:v>ml/artifacts/model-classical-ordinal-extra_trees-seed42/metrics.json</x:v>
      </x:c>
    </x:row>
    <x:row r="42">
      <x:c r="A42" s="54" t="str">
        <x:v>Ordinal 4-level</x:v>
      </x:c>
      <x:c r="B42" s="54" t="str">
        <x:v>Retrained combined XGBoost</x:v>
      </x:c>
      <x:c r="C42" s="54" t="str">
        <x:v>XGBoost</x:v>
      </x:c>
      <x:c r="D42" s="54" t="str">
        <x:v>448 blendshape + behaviour statistics</x:v>
      </x:c>
      <x:c r="E42" s="54" t="n">
        <x:v>1729</x:v>
      </x:c>
      <x:c r="F42" s="54" t="str">
        <x:v>Boredom</x:v>
      </x:c>
      <x:c r="G42" s="55" t="n">
        <x:v>0.29465834341312697</x:v>
      </x:c>
      <x:c r="H42" s="55" t="n">
        <x:v>0.3035144382470869</x:v>
      </x:c>
      <x:c r="I42" s="55" t="n">
        <x:v>0.40012682308180086</x:v>
      </x:c>
      <x:c r="J42" s="56" t="n">
        <x:v>0.8154724159797083</x:v>
      </x:c>
      <x:c r="K42" s="56" t="n">
        <x:v>0.18904322869663492</x:v>
      </x:c>
      <x:c r="L42" s="55"/>
      <x:c r="M42" s="55"/>
      <x:c r="N42" s="55"/>
      <x:c r="O42" s="57"/>
      <x:c r="P42" s="57"/>
      <x:c r="Q42" s="55"/>
      <x:c r="R42" s="54" t="str">
        <x:v>ml/artifacts/model-temporal-xgboost-baseline_combined-seed1729/metrics.json</x:v>
      </x:c>
    </x:row>
    <x:row r="43">
      <x:c r="A43" s="54" t="str">
        <x:v>Ordinal 4-level</x:v>
      </x:c>
      <x:c r="B43" s="54" t="str">
        <x:v>Retrained combined XGBoost</x:v>
      </x:c>
      <x:c r="C43" s="54" t="str">
        <x:v>XGBoost</x:v>
      </x:c>
      <x:c r="D43" s="54" t="str">
        <x:v>448 blendshape + behaviour statistics</x:v>
      </x:c>
      <x:c r="E43" s="54" t="n">
        <x:v>1729</x:v>
      </x:c>
      <x:c r="F43" s="54" t="str">
        <x:v>Engagement</x:v>
      </x:c>
      <x:c r="G43" s="55" t="n">
        <x:v>0.31886441177786484</x:v>
      </x:c>
      <x:c r="H43" s="55" t="n">
        <x:v>0.31184567972424043</x:v>
      </x:c>
      <x:c r="I43" s="55" t="n">
        <x:v>0.5364616360177552</x:v>
      </x:c>
      <x:c r="J43" s="56" t="n">
        <x:v>0.4825618262523779</x:v>
      </x:c>
      <x:c r="K43" s="56" t="n">
        <x:v>0.17163188359619785</x:v>
      </x:c>
      <x:c r="L43" s="55"/>
      <x:c r="M43" s="55"/>
      <x:c r="N43" s="55"/>
      <x:c r="O43" s="57"/>
      <x:c r="P43" s="57"/>
      <x:c r="Q43" s="55"/>
      <x:c r="R43" s="54" t="str">
        <x:v>ml/artifacts/model-temporal-xgboost-baseline_combined-seed1729/metrics.json</x:v>
      </x:c>
    </x:row>
    <x:row r="44">
      <x:c r="A44" s="54" t="str">
        <x:v>Ordinal 4-level</x:v>
      </x:c>
      <x:c r="B44" s="54" t="str">
        <x:v>Retrained combined XGBoost</x:v>
      </x:c>
      <x:c r="C44" s="54" t="str">
        <x:v>XGBoost</x:v>
      </x:c>
      <x:c r="D44" s="54" t="str">
        <x:v>448 blendshape + behaviour statistics</x:v>
      </x:c>
      <x:c r="E44" s="54" t="n">
        <x:v>1729</x:v>
      </x:c>
      <x:c r="F44" s="54" t="str">
        <x:v>Confusion</x:v>
      </x:c>
      <x:c r="G44" s="55" t="n">
        <x:v>0.2791851836735681</x:v>
      </x:c>
      <x:c r="H44" s="55" t="n">
        <x:v>0.28148473275279634</x:v>
      </x:c>
      <x:c r="I44" s="55" t="n">
        <x:v>0.6506024096385542</x:v>
      </x:c>
      <x:c r="J44" s="56" t="n">
        <x:v>0.44514901712111604</x:v>
      </x:c>
      <x:c r="K44" s="56" t="n">
        <x:v>0.10711912277786995</x:v>
      </x:c>
      <x:c r="L44" s="55"/>
      <x:c r="M44" s="55"/>
      <x:c r="N44" s="55"/>
      <x:c r="O44" s="57"/>
      <x:c r="P44" s="57"/>
      <x:c r="Q44" s="55"/>
      <x:c r="R44" s="54" t="str">
        <x:v>ml/artifacts/model-temporal-xgboost-baseline_combined-seed1729/metrics.json</x:v>
      </x:c>
    </x:row>
    <x:row r="45">
      <x:c r="A45" s="54" t="str">
        <x:v>Ordinal 4-level</x:v>
      </x:c>
      <x:c r="B45" s="54" t="str">
        <x:v>Retrained combined XGBoost</x:v>
      </x:c>
      <x:c r="C45" s="54" t="str">
        <x:v>XGBoost</x:v>
      </x:c>
      <x:c r="D45" s="54" t="str">
        <x:v>448 blendshape + behaviour statistics</x:v>
      </x:c>
      <x:c r="E45" s="54" t="n">
        <x:v>1729</x:v>
      </x:c>
      <x:c r="F45" s="54" t="str">
        <x:v>Frustration</x:v>
      </x:c>
      <x:c r="G45" s="55" t="n">
        <x:v>0.25883932399196735</x:v>
      </x:c>
      <x:c r="H45" s="55" t="n">
        <x:v>0.2638919535157399</x:v>
      </x:c>
      <x:c r="I45" s="55" t="n">
        <x:v>0.7222574508560557</x:v>
      </x:c>
      <x:c r="J45" s="56" t="n">
        <x:v>0.33608116677235256</x:v>
      </x:c>
      <x:c r="K45" s="56" t="n">
        <x:v>0.06292812402475212</x:v>
      </x:c>
      <x:c r="L45" s="55"/>
      <x:c r="M45" s="55"/>
      <x:c r="N45" s="55"/>
      <x:c r="O45" s="57"/>
      <x:c r="P45" s="57"/>
      <x:c r="Q45" s="55"/>
      <x:c r="R45" s="54" t="str">
        <x:v>ml/artifacts/model-temporal-xgboost-baseline_combined-seed1729/metrics.json</x:v>
      </x:c>
    </x:row>
    <x:row r="46">
      <x:c r="A46" s="54" t="str">
        <x:v>Ordinal 4-level</x:v>
      </x:c>
      <x:c r="B46" s="54" t="str">
        <x:v>Full temporal XGBoost</x:v>
      </x:c>
      <x:c r="C46" s="54" t="str">
        <x:v>XGBoost</x:v>
      </x:c>
      <x:c r="D46" s="54" t="str">
        <x:v>1,664 distribution + temporal statistics</x:v>
      </x:c>
      <x:c r="E46" s="54" t="n">
        <x:v>1729</x:v>
      </x:c>
      <x:c r="F46" s="54" t="str">
        <x:v>Boredom</x:v>
      </x:c>
      <x:c r="G46" s="55" t="n">
        <x:v>0.3244389750505425</x:v>
      </x:c>
      <x:c r="H46" s="55" t="n">
        <x:v>0.3276259496428005</x:v>
      </x:c>
      <x:c r="I46" s="55" t="n">
        <x:v>0.42358909321496513</x:v>
      </x:c>
      <x:c r="J46" s="56" t="n">
        <x:v>0.7564996829422955</x:v>
      </x:c>
      <x:c r="K46" s="56" t="n">
        <x:v>0.23152920554506862</x:v>
      </x:c>
      <x:c r="L46" s="55"/>
      <x:c r="M46" s="55"/>
      <x:c r="N46" s="55"/>
      <x:c r="O46" s="57"/>
      <x:c r="P46" s="57"/>
      <x:c r="Q46" s="55"/>
      <x:c r="R46" s="54" t="str">
        <x:v>ml/artifacts/model-temporal-xgboost-temporal_all-seed1729/metrics.json</x:v>
      </x:c>
    </x:row>
    <x:row r="47">
      <x:c r="A47" s="54" t="str">
        <x:v>Ordinal 4-level</x:v>
      </x:c>
      <x:c r="B47" s="54" t="str">
        <x:v>Full temporal XGBoost</x:v>
      </x:c>
      <x:c r="C47" s="54" t="str">
        <x:v>XGBoost</x:v>
      </x:c>
      <x:c r="D47" s="54" t="str">
        <x:v>1,664 distribution + temporal statistics</x:v>
      </x:c>
      <x:c r="E47" s="54" t="n">
        <x:v>1729</x:v>
      </x:c>
      <x:c r="F47" s="54" t="str">
        <x:v>Engagement</x:v>
      </x:c>
      <x:c r="G47" s="55" t="n">
        <x:v>0.3084339660833314</x:v>
      </x:c>
      <x:c r="H47" s="55" t="n">
        <x:v>0.30317613629082896</x:v>
      </x:c>
      <x:c r="I47" s="55" t="n">
        <x:v>0.5307545973367153</x:v>
      </x:c>
      <x:c r="J47" s="56" t="n">
        <x:v>0.4895370957514268</x:v>
      </x:c>
      <x:c r="K47" s="56" t="n">
        <x:v>0.15716862994799952</x:v>
      </x:c>
      <x:c r="L47" s="55"/>
      <x:c r="M47" s="55"/>
      <x:c r="N47" s="55"/>
      <x:c r="O47" s="57"/>
      <x:c r="P47" s="57"/>
      <x:c r="Q47" s="55"/>
      <x:c r="R47" s="54" t="str">
        <x:v>ml/artifacts/model-temporal-xgboost-temporal_all-seed1729/metrics.json</x:v>
      </x:c>
    </x:row>
    <x:row r="48">
      <x:c r="A48" s="54" t="str">
        <x:v>Ordinal 4-level</x:v>
      </x:c>
      <x:c r="B48" s="54" t="str">
        <x:v>Full temporal XGBoost</x:v>
      </x:c>
      <x:c r="C48" s="54" t="str">
        <x:v>XGBoost</x:v>
      </x:c>
      <x:c r="D48" s="54" t="str">
        <x:v>1,664 distribution + temporal statistics</x:v>
      </x:c>
      <x:c r="E48" s="54" t="n">
        <x:v>1729</x:v>
      </x:c>
      <x:c r="F48" s="54" t="str">
        <x:v>Confusion</x:v>
      </x:c>
      <x:c r="G48" s="55" t="n">
        <x:v>0.2574261871852426</x:v>
      </x:c>
      <x:c r="H48" s="55" t="n">
        <x:v>0.26753181067487425</x:v>
      </x:c>
      <x:c r="I48" s="55" t="n">
        <x:v>0.6620164870006341</x:v>
      </x:c>
      <x:c r="J48" s="56" t="n">
        <x:v>0.4197844007609385</x:v>
      </x:c>
      <x:c r="K48" s="56" t="n">
        <x:v>0.08320349743041189</x:v>
      </x:c>
      <x:c r="L48" s="55"/>
      <x:c r="M48" s="55"/>
      <x:c r="N48" s="55"/>
      <x:c r="O48" s="57"/>
      <x:c r="P48" s="57"/>
      <x:c r="Q48" s="55"/>
      <x:c r="R48" s="54" t="str">
        <x:v>ml/artifacts/model-temporal-xgboost-temporal_all-seed1729/metrics.json</x:v>
      </x:c>
    </x:row>
    <x:row r="49">
      <x:c r="A49" s="54" t="str">
        <x:v>Ordinal 4-level</x:v>
      </x:c>
      <x:c r="B49" s="54" t="str">
        <x:v>Full temporal XGBoost</x:v>
      </x:c>
      <x:c r="C49" s="54" t="str">
        <x:v>XGBoost</x:v>
      </x:c>
      <x:c r="D49" s="54" t="str">
        <x:v>1,664 distribution + temporal statistics</x:v>
      </x:c>
      <x:c r="E49" s="54" t="n">
        <x:v>1729</x:v>
      </x:c>
      <x:c r="F49" s="54" t="str">
        <x:v>Frustration</x:v>
      </x:c>
      <x:c r="G49" s="55" t="n">
        <x:v>0.25615072718916265</x:v>
      </x:c>
      <x:c r="H49" s="55" t="n">
        <x:v>0.26085388676408094</x:v>
      </x:c>
      <x:c r="I49" s="55" t="n">
        <x:v>0.7362079898541535</x:v>
      </x:c>
      <x:c r="J49" s="56" t="n">
        <x:v>0.3227647431832594</x:v>
      </x:c>
      <x:c r="K49" s="56" t="n">
        <x:v>0.045028515649713885</x:v>
      </x:c>
      <x:c r="L49" s="55"/>
      <x:c r="M49" s="55"/>
      <x:c r="N49" s="55"/>
      <x:c r="O49" s="57"/>
      <x:c r="P49" s="57"/>
      <x:c r="Q49" s="55"/>
      <x:c r="R49" s="54" t="str">
        <x:v>ml/artifacts/model-temporal-xgboost-temporal_all-seed1729/metrics.json</x:v>
      </x:c>
    </x:row>
    <x:row r="50">
      <x:c r="A50" s="54" t="str">
        <x:v>Ordinal 4-level</x:v>
      </x:c>
      <x:c r="B50" s="54" t="str">
        <x:v>Selected temporal XGBoost</x:v>
      </x:c>
      <x:c r="C50" s="54" t="str">
        <x:v>XGBoost</x:v>
      </x:c>
      <x:c r="D50" s="54" t="str">
        <x:v>512 task-specific features selected from 1,664</x:v>
      </x:c>
      <x:c r="E50" s="54" t="n">
        <x:v>1729</x:v>
      </x:c>
      <x:c r="F50" s="54" t="str">
        <x:v>Boredom</x:v>
      </x:c>
      <x:c r="G50" s="55" t="n">
        <x:v>0.31206655492652435</x:v>
      </x:c>
      <x:c r="H50" s="55" t="n">
        <x:v>0.318065122699557</x:v>
      </x:c>
      <x:c r="I50" s="55" t="n">
        <x:v>0.4166138237159163</x:v>
      </x:c>
      <x:c r="J50" s="56" t="n">
        <x:v>0.7666455294863666</x:v>
      </x:c>
      <x:c r="K50" s="56" t="n">
        <x:v>0.23051678314846613</x:v>
      </x:c>
      <x:c r="L50" s="55"/>
      <x:c r="M50" s="55"/>
      <x:c r="N50" s="55"/>
      <x:c r="O50" s="57"/>
      <x:c r="P50" s="57"/>
      <x:c r="Q50" s="55"/>
      <x:c r="R50" s="54" t="str">
        <x:v>ml/artifacts/model-temporal-xgboost-temporal_select_512-seed1729/metrics.json</x:v>
      </x:c>
    </x:row>
    <x:row r="51">
      <x:c r="A51" s="54" t="str">
        <x:v>Ordinal 4-level</x:v>
      </x:c>
      <x:c r="B51" s="54" t="str">
        <x:v>Selected temporal XGBoost</x:v>
      </x:c>
      <x:c r="C51" s="54" t="str">
        <x:v>XGBoost</x:v>
      </x:c>
      <x:c r="D51" s="54" t="str">
        <x:v>512 task-specific features selected from 1,664</x:v>
      </x:c>
      <x:c r="E51" s="54" t="n">
        <x:v>1729</x:v>
      </x:c>
      <x:c r="F51" s="54" t="str">
        <x:v>Engagement</x:v>
      </x:c>
      <x:c r="G51" s="55" t="n">
        <x:v>0.32972832290614834</x:v>
      </x:c>
      <x:c r="H51" s="55" t="n">
        <x:v>0.32641051269237176</x:v>
      </x:c>
      <x:c r="I51" s="55" t="n">
        <x:v>0.523145212428662</x:v>
      </x:c>
      <x:c r="J51" s="56" t="n">
        <x:v>0.4990488268864933</x:v>
      </x:c>
      <x:c r="K51" s="56" t="n">
        <x:v>0.17616999747027584</x:v>
      </x:c>
      <x:c r="L51" s="55"/>
      <x:c r="M51" s="55"/>
      <x:c r="N51" s="55"/>
      <x:c r="O51" s="57"/>
      <x:c r="P51" s="57"/>
      <x:c r="Q51" s="55"/>
      <x:c r="R51" s="54" t="str">
        <x:v>ml/artifacts/model-temporal-xgboost-temporal_select_512-seed1729/metrics.json</x:v>
      </x:c>
    </x:row>
    <x:row r="52">
      <x:c r="A52" s="54" t="str">
        <x:v>Ordinal 4-level</x:v>
      </x:c>
      <x:c r="B52" s="54" t="str">
        <x:v>Selected temporal XGBoost</x:v>
      </x:c>
      <x:c r="C52" s="54" t="str">
        <x:v>XGBoost</x:v>
      </x:c>
      <x:c r="D52" s="54" t="str">
        <x:v>512 task-specific features selected from 1,664</x:v>
      </x:c>
      <x:c r="E52" s="54" t="n">
        <x:v>1729</x:v>
      </x:c>
      <x:c r="F52" s="54" t="str">
        <x:v>Confusion</x:v>
      </x:c>
      <x:c r="G52" s="55" t="n">
        <x:v>0.29260957371322527</x:v>
      </x:c>
      <x:c r="H52" s="55" t="n">
        <x:v>0.2934088563170933</x:v>
      </x:c>
      <x:c r="I52" s="55" t="n">
        <x:v>0.6461636017755231</x:v>
      </x:c>
      <x:c r="J52" s="56" t="n">
        <x:v>0.4584654407102093</x:v>
      </x:c>
      <x:c r="K52" s="56" t="n">
        <x:v>0.10158615933555215</x:v>
      </x:c>
      <x:c r="L52" s="55"/>
      <x:c r="M52" s="55"/>
      <x:c r="N52" s="55"/>
      <x:c r="O52" s="57"/>
      <x:c r="P52" s="57"/>
      <x:c r="Q52" s="55"/>
      <x:c r="R52" s="54" t="str">
        <x:v>ml/artifacts/model-temporal-xgboost-temporal_select_512-seed1729/metrics.json</x:v>
      </x:c>
    </x:row>
    <x:row r="53">
      <x:c r="A53" s="54" t="str">
        <x:v>Ordinal 4-level</x:v>
      </x:c>
      <x:c r="B53" s="54" t="str">
        <x:v>Selected temporal XGBoost</x:v>
      </x:c>
      <x:c r="C53" s="54" t="str">
        <x:v>XGBoost</x:v>
      </x:c>
      <x:c r="D53" s="54" t="str">
        <x:v>512 task-specific features selected from 1,664</x:v>
      </x:c>
      <x:c r="E53" s="54" t="n">
        <x:v>1729</x:v>
      </x:c>
      <x:c r="F53" s="54" t="str">
        <x:v>Frustration</x:v>
      </x:c>
      <x:c r="G53" s="55" t="n">
        <x:v>0.24615520934461343</x:v>
      </x:c>
      <x:c r="H53" s="55" t="n">
        <x:v>0.2552680935569285</x:v>
      </x:c>
      <x:c r="I53" s="55" t="n">
        <x:v>0.7419150285351934</x:v>
      </x:c>
      <x:c r="J53" s="56" t="n">
        <x:v>0.31642358909321494</x:v>
      </x:c>
      <x:c r="K53" s="56" t="n">
        <x:v>0.07458098353397324</x:v>
      </x:c>
      <x:c r="L53" s="55"/>
      <x:c r="M53" s="55"/>
      <x:c r="N53" s="55"/>
      <x:c r="O53" s="57"/>
      <x:c r="P53" s="57"/>
      <x:c r="Q53" s="55"/>
      <x:c r="R53" s="54" t="str">
        <x:v>ml/artifacts/model-temporal-xgboost-temporal_select_512-seed1729/metrics.json</x:v>
      </x:c>
    </x:row>
    <x:row r="54">
      <x:c r="A54" s="54" t="str">
        <x:v>Ordinal 4-level</x:v>
      </x:c>
      <x:c r="B54" s="54" t="str">
        <x:v>Selected temporal XGBoost</x:v>
      </x:c>
      <x:c r="C54" s="54" t="str">
        <x:v>XGBoost</x:v>
      </x:c>
      <x:c r="D54" s="54" t="str">
        <x:v>512 task-specific features selected from 1,664</x:v>
      </x:c>
      <x:c r="E54" s="54" t="n">
        <x:v>42</x:v>
      </x:c>
      <x:c r="F54" s="54" t="str">
        <x:v>Boredom</x:v>
      </x:c>
      <x:c r="G54" s="55" t="n">
        <x:v>0.30274939304073656</x:v>
      </x:c>
      <x:c r="H54" s="55" t="n">
        <x:v>0.3032658927166015</x:v>
      </x:c>
      <x:c r="I54" s="55" t="n">
        <x:v>0.4083703233988586</x:v>
      </x:c>
      <x:c r="J54" s="56" t="n">
        <x:v>0.7571337983512999</x:v>
      </x:c>
      <x:c r="K54" s="56" t="n">
        <x:v>0.22608571633919983</x:v>
      </x:c>
      <x:c r="L54" s="55"/>
      <x:c r="M54" s="55"/>
      <x:c r="N54" s="55"/>
      <x:c r="O54" s="57"/>
      <x:c r="P54" s="57"/>
      <x:c r="Q54" s="55"/>
      <x:c r="R54" s="54" t="str">
        <x:v>ml/artifacts/model-temporal-xgboost-temporal_select_512-seed42/metrics.json</x:v>
      </x:c>
    </x:row>
    <x:row r="55">
      <x:c r="A55" s="54" t="str">
        <x:v>Ordinal 4-level</x:v>
      </x:c>
      <x:c r="B55" s="54" t="str">
        <x:v>Selected temporal XGBoost</x:v>
      </x:c>
      <x:c r="C55" s="54" t="str">
        <x:v>XGBoost</x:v>
      </x:c>
      <x:c r="D55" s="54" t="str">
        <x:v>512 task-specific features selected from 1,664</x:v>
      </x:c>
      <x:c r="E55" s="54" t="n">
        <x:v>42</x:v>
      </x:c>
      <x:c r="F55" s="54" t="str">
        <x:v>Engagement</x:v>
      </x:c>
      <x:c r="G55" s="55" t="n">
        <x:v>0.3295771522215291</x:v>
      </x:c>
      <x:c r="H55" s="55" t="n">
        <x:v>0.3226952229013698</x:v>
      </x:c>
      <x:c r="I55" s="55" t="n">
        <x:v>0.5225110970196576</x:v>
      </x:c>
      <x:c r="J55" s="56" t="n">
        <x:v>0.4990488268864933</x:v>
      </x:c>
      <x:c r="K55" s="56" t="n">
        <x:v>0.1665730480518819</x:v>
      </x:c>
      <x:c r="L55" s="55"/>
      <x:c r="M55" s="55"/>
      <x:c r="N55" s="55"/>
      <x:c r="O55" s="57"/>
      <x:c r="P55" s="57"/>
      <x:c r="Q55" s="55"/>
      <x:c r="R55" s="54" t="str">
        <x:v>ml/artifacts/model-temporal-xgboost-temporal_select_512-seed42/metrics.json</x:v>
      </x:c>
    </x:row>
    <x:row r="56">
      <x:c r="A56" s="54" t="str">
        <x:v>Ordinal 4-level</x:v>
      </x:c>
      <x:c r="B56" s="54" t="str">
        <x:v>Selected temporal XGBoost</x:v>
      </x:c>
      <x:c r="C56" s="54" t="str">
        <x:v>XGBoost</x:v>
      </x:c>
      <x:c r="D56" s="54" t="str">
        <x:v>512 task-specific features selected from 1,664</x:v>
      </x:c>
      <x:c r="E56" s="54" t="n">
        <x:v>42</x:v>
      </x:c>
      <x:c r="F56" s="54" t="str">
        <x:v>Confusion</x:v>
      </x:c>
      <x:c r="G56" s="55" t="n">
        <x:v>0.28696047188319435</x:v>
      </x:c>
      <x:c r="H56" s="55" t="n">
        <x:v>0.2877434126567075</x:v>
      </x:c>
      <x:c r="I56" s="55" t="n">
        <x:v>0.6569435637285986</x:v>
      </x:c>
      <x:c r="J56" s="56" t="n">
        <x:v>0.4419784400760938</x:v>
      </x:c>
      <x:c r="K56" s="56" t="n">
        <x:v>0.10497036875590293</x:v>
      </x:c>
      <x:c r="L56" s="55"/>
      <x:c r="M56" s="55"/>
      <x:c r="N56" s="55"/>
      <x:c r="O56" s="57"/>
      <x:c r="P56" s="57"/>
      <x:c r="Q56" s="55"/>
      <x:c r="R56" s="54" t="str">
        <x:v>ml/artifacts/model-temporal-xgboost-temporal_select_512-seed42/metrics.json</x:v>
      </x:c>
    </x:row>
    <x:row r="57">
      <x:c r="A57" s="54" t="str">
        <x:v>Ordinal 4-level</x:v>
      </x:c>
      <x:c r="B57" s="54" t="str">
        <x:v>Selected temporal XGBoost</x:v>
      </x:c>
      <x:c r="C57" s="54" t="str">
        <x:v>XGBoost</x:v>
      </x:c>
      <x:c r="D57" s="54" t="str">
        <x:v>512 task-specific features selected from 1,664</x:v>
      </x:c>
      <x:c r="E57" s="54" t="n">
        <x:v>42</x:v>
      </x:c>
      <x:c r="F57" s="54" t="str">
        <x:v>Frustration</x:v>
      </x:c>
      <x:c r="G57" s="55" t="n">
        <x:v>0.248033794756786</x:v>
      </x:c>
      <x:c r="H57" s="55" t="n">
        <x:v>0.25655523683436304</x:v>
      </x:c>
      <x:c r="I57" s="55" t="n">
        <x:v>0.7412809131261889</x:v>
      </x:c>
      <x:c r="J57" s="56" t="n">
        <x:v>0.32149651236525045</x:v>
      </x:c>
      <x:c r="K57" s="56" t="n">
        <x:v>0.03814072385449341</x:v>
      </x:c>
      <x:c r="L57" s="55"/>
      <x:c r="M57" s="55"/>
      <x:c r="N57" s="55"/>
      <x:c r="O57" s="57"/>
      <x:c r="P57" s="57"/>
      <x:c r="Q57" s="55"/>
      <x:c r="R57" s="54" t="str">
        <x:v>ml/artifacts/model-temporal-xgboost-temporal_select_512-seed42/metrics.json</x:v>
      </x:c>
    </x:row>
    <x:row r="58">
      <x:c r="A58" s="54" t="str">
        <x:v>Binary Low/High</x:v>
      </x:c>
      <x:c r="B58" s="54" t="str">
        <x:v>Collapsed 4-class XGBoost</x:v>
      </x:c>
      <x:c r="C58" s="54" t="str">
        <x:v>XGBoost</x:v>
      </x:c>
      <x:c r="D58" s="54" t="str">
        <x:v>364 blendshape statistics</x:v>
      </x:c>
      <x:c r="E58" s="54" t="str">
        <x:v>N/A</x:v>
      </x:c>
      <x:c r="F58" s="54" t="str">
        <x:v>Boredom</x:v>
      </x:c>
      <x:c r="G58" s="55" t="n">
        <x:v>0.5482207861096602</x:v>
      </x:c>
      <x:c r="H58" s="55" t="n">
        <x:v>0.5577439921750211</x:v>
      </x:c>
      <x:c r="I58" s="55" t="n">
        <x:v>0.6410906785034877</x:v>
      </x:c>
      <x:c r="J58" s="56" t="n">
        <x:v>0.3589093214965124</x:v>
      </x:c>
      <x:c r="K58" s="56" t="n">
        <x:v>0.10341924985435047</x:v>
      </x:c>
      <x:c r="L58" s="55" t="n">
        <x:v>0.3002028397565923</x:v>
      </x:c>
      <x:c r="M58" s="55" t="n">
        <x:v>0.4010840108401084</x:v>
      </x:c>
      <x:c r="N58" s="55" t="n">
        <x:v>0.7144039735099338</x:v>
      </x:c>
      <x:c r="O58" s="57" t="n">
        <x:v>1208</x:v>
      </x:c>
      <x:c r="P58" s="57" t="n">
        <x:v>369</x:v>
      </x:c>
      <x:c r="Q58" s="55" t="n">
        <x:v>0.4010840108401084</x:v>
      </x:c>
      <x:c r="R58" s="54" t="str">
        <x:v>ml/artifacts/binary/xgboost_collapsed_metrics.json</x:v>
      </x:c>
    </x:row>
    <x:row r="59">
      <x:c r="A59" s="54" t="str">
        <x:v>Binary Low/High</x:v>
      </x:c>
      <x:c r="B59" s="54" t="str">
        <x:v>Collapsed 4-class XGBoost</x:v>
      </x:c>
      <x:c r="C59" s="54" t="str">
        <x:v>XGBoost</x:v>
      </x:c>
      <x:c r="D59" s="54" t="str">
        <x:v>364 blendshape statistics</x:v>
      </x:c>
      <x:c r="E59" s="54" t="str">
        <x:v>N/A</x:v>
      </x:c>
      <x:c r="F59" s="54" t="str">
        <x:v>Engagement</x:v>
      </x:c>
      <x:c r="G59" s="55" t="n">
        <x:v>0.6049179116448491</x:v>
      </x:c>
      <x:c r="H59" s="55" t="n">
        <x:v>0.6192511624112896</x:v>
      </x:c>
      <x:c r="I59" s="55" t="n">
        <x:v>0.911857958148383</x:v>
      </x:c>
      <x:c r="J59" s="56" t="n">
        <x:v>0.08814204185161699</x:v>
      </x:c>
      <x:c r="K59" s="56" t="n">
        <x:v>0.21058848526536045</x:v>
      </x:c>
      <x:c r="L59" s="55" t="n">
        <x:v>0.9605978260869565</x:v>
      </x:c>
      <x:c r="M59" s="55" t="n">
        <x:v>0.945819397993311</x:v>
      </x:c>
      <x:c r="N59" s="55" t="n">
        <x:v>0.2926829268292683</x:v>
      </x:c>
      <x:c r="O59" s="57" t="n">
        <x:v>82</x:v>
      </x:c>
      <x:c r="P59" s="57" t="n">
        <x:v>1495</x:v>
      </x:c>
      <x:c r="Q59" s="55" t="n">
        <x:v>0.2926829268292683</x:v>
      </x:c>
      <x:c r="R59" s="54" t="str">
        <x:v>ml/artifacts/binary/xgboost_collapsed_metrics.json</x:v>
      </x:c>
    </x:row>
    <x:row r="60">
      <x:c r="A60" s="54" t="str">
        <x:v>Binary Low/High</x:v>
      </x:c>
      <x:c r="B60" s="54" t="str">
        <x:v>Collapsed 4-class XGBoost</x:v>
      </x:c>
      <x:c r="C60" s="54" t="str">
        <x:v>XGBoost</x:v>
      </x:c>
      <x:c r="D60" s="54" t="str">
        <x:v>364 blendshape statistics</x:v>
      </x:c>
      <x:c r="E60" s="54" t="str">
        <x:v>N/A</x:v>
      </x:c>
      <x:c r="F60" s="54" t="str">
        <x:v>Confusion</x:v>
      </x:c>
      <x:c r="G60" s="55" t="n">
        <x:v>0.5438791472664996</x:v>
      </x:c>
      <x:c r="H60" s="55" t="n">
        <x:v>0.5473430257725972</x:v>
      </x:c>
      <x:c r="I60" s="55" t="n">
        <x:v>0.8509828788839569</x:v>
      </x:c>
      <x:c r="J60" s="56" t="n">
        <x:v>0.14901712111604312</x:v>
      </x:c>
      <x:c r="K60" s="56" t="n">
        <x:v>0.08825316692376006</x:v>
      </x:c>
      <x:c r="L60" s="55" t="n">
        <x:v>0.15789473684210525</x:v>
      </x:c>
      <x:c r="M60" s="55" t="n">
        <x:v>0.183206106870229</x:v>
      </x:c>
      <x:c r="N60" s="55" t="n">
        <x:v>0.9114799446749654</x:v>
      </x:c>
      <x:c r="O60" s="57" t="n">
        <x:v>1446</x:v>
      </x:c>
      <x:c r="P60" s="57" t="n">
        <x:v>131</x:v>
      </x:c>
      <x:c r="Q60" s="55" t="n">
        <x:v>0.183206106870229</x:v>
      </x:c>
      <x:c r="R60" s="54" t="str">
        <x:v>ml/artifacts/binary/xgboost_collapsed_metrics.json</x:v>
      </x:c>
    </x:row>
    <x:row r="61">
      <x:c r="A61" s="54" t="str">
        <x:v>Binary Low/High</x:v>
      </x:c>
      <x:c r="B61" s="54" t="str">
        <x:v>Collapsed 4-class XGBoost</x:v>
      </x:c>
      <x:c r="C61" s="54" t="str">
        <x:v>XGBoost</x:v>
      </x:c>
      <x:c r="D61" s="54" t="str">
        <x:v>364 blendshape statistics</x:v>
      </x:c>
      <x:c r="E61" s="54" t="str">
        <x:v>N/A</x:v>
      </x:c>
      <x:c r="F61" s="54" t="str">
        <x:v>Frustration</x:v>
      </x:c>
      <x:c r="G61" s="55" t="n">
        <x:v>0.5253253694663655</x:v>
      </x:c>
      <x:c r="H61" s="55" t="n">
        <x:v>0.5617099567099567</x:v>
      </x:c>
      <x:c r="I61" s="55" t="n">
        <x:v>0.8459099556119214</x:v>
      </x:c>
      <x:c r="J61" s="56" t="n">
        <x:v>0.15409004438807863</x:v>
      </x:c>
      <x:c r="K61" s="56" t="n">
        <x:v>0.06924592138851315</x:v>
      </x:c>
      <x:c r="L61" s="55" t="n">
        <x:v>0.09313725490196079</x:v>
      </x:c>
      <x:c r="M61" s="55" t="n">
        <x:v>0.24675324675324675</x:v>
      </x:c>
      <x:c r="N61" s="55" t="n">
        <x:v>0.8766666666666667</x:v>
      </x:c>
      <x:c r="O61" s="57" t="n">
        <x:v>1500</x:v>
      </x:c>
      <x:c r="P61" s="57" t="n">
        <x:v>77</x:v>
      </x:c>
      <x:c r="Q61" s="55" t="n">
        <x:v>0.24675324675324675</x:v>
      </x:c>
      <x:c r="R61" s="54" t="str">
        <x:v>ml/artifacts/binary/xgboost_collapsed_metrics.json</x:v>
      </x:c>
    </x:row>
    <x:row r="62">
      <x:c r="A62" s="54" t="str">
        <x:v>Binary Low/High</x:v>
      </x:c>
      <x:c r="B62" s="54" t="str">
        <x:v>Direct binary XGBoost</x:v>
      </x:c>
      <x:c r="C62" s="54" t="str">
        <x:v>XGBoost</x:v>
      </x:c>
      <x:c r="D62" s="54" t="str">
        <x:v>364 blendshape statistics</x:v>
      </x:c>
      <x:c r="E62" s="54" t="n">
        <x:v>1729</x:v>
      </x:c>
      <x:c r="F62" s="54" t="str">
        <x:v>Boredom</x:v>
      </x:c>
      <x:c r="G62" s="55" t="n">
        <x:v>0.5635862459687964</x:v>
      </x:c>
      <x:c r="H62" s="55" t="n">
        <x:v>0.5657518081803334</x:v>
      </x:c>
      <x:c r="I62" s="55" t="n">
        <x:v>0.6778693722257451</x:v>
      </x:c>
      <x:c r="J62" s="56" t="n">
        <x:v>0.32213062777425494</x:v>
      </x:c>
      <x:c r="K62" s="56" t="n">
        <x:v>0.1276591111033677</x:v>
      </x:c>
      <x:c r="L62" s="55" t="n">
        <x:v>0.3266832917705736</x:v>
      </x:c>
      <x:c r="M62" s="55" t="n">
        <x:v>0.35501355013550134</x:v>
      </x:c>
      <x:c r="N62" s="55" t="n">
        <x:v>0.7764900662251656</x:v>
      </x:c>
      <x:c r="O62" s="57" t="n">
        <x:v>1208</x:v>
      </x:c>
      <x:c r="P62" s="57" t="n">
        <x:v>369</x:v>
      </x:c>
      <x:c r="Q62" s="55" t="n">
        <x:v>0.35501355013550134</x:v>
      </x:c>
      <x:c r="R62" s="54" t="str">
        <x:v>ml/artifacts/model-binary-xgboost/metrics.json</x:v>
      </x:c>
    </x:row>
    <x:row r="63">
      <x:c r="A63" s="54" t="str">
        <x:v>Binary Low/High</x:v>
      </x:c>
      <x:c r="B63" s="54" t="str">
        <x:v>Direct binary XGBoost</x:v>
      </x:c>
      <x:c r="C63" s="54" t="str">
        <x:v>XGBoost</x:v>
      </x:c>
      <x:c r="D63" s="54" t="str">
        <x:v>364 blendshape statistics</x:v>
      </x:c>
      <x:c r="E63" s="54" t="n">
        <x:v>1729</x:v>
      </x:c>
      <x:c r="F63" s="54" t="str">
        <x:v>Engagement</x:v>
      </x:c>
      <x:c r="G63" s="55" t="n">
        <x:v>0.5825955114111867</x:v>
      </x:c>
      <x:c r="H63" s="55" t="n">
        <x:v>0.6136430377681703</x:v>
      </x:c>
      <x:c r="I63" s="55" t="n">
        <x:v>0.8902980342422321</x:v>
      </x:c>
      <x:c r="J63" s="56" t="n">
        <x:v>0.10970196575776792</x:v>
      </x:c>
      <x:c r="K63" s="56" t="n">
        <x:v>0.16961347995872722</x:v>
      </x:c>
      <x:c r="L63" s="55" t="n">
        <x:v>0.9603064066852368</x:v>
      </x:c>
      <x:c r="M63" s="55" t="n">
        <x:v>0.9224080267558529</x:v>
      </x:c>
      <x:c r="N63" s="55" t="n">
        <x:v>0.3048780487804878</x:v>
      </x:c>
      <x:c r="O63" s="57" t="n">
        <x:v>82</x:v>
      </x:c>
      <x:c r="P63" s="57" t="n">
        <x:v>1495</x:v>
      </x:c>
      <x:c r="Q63" s="55" t="n">
        <x:v>0.3048780487804878</x:v>
      </x:c>
      <x:c r="R63" s="54" t="str">
        <x:v>ml/artifacts/model-binary-xgboost/metrics.json</x:v>
      </x:c>
    </x:row>
    <x:row r="64">
      <x:c r="A64" s="54" t="str">
        <x:v>Binary Low/High</x:v>
      </x:c>
      <x:c r="B64" s="54" t="str">
        <x:v>Direct binary XGBoost</x:v>
      </x:c>
      <x:c r="C64" s="54" t="str">
        <x:v>XGBoost</x:v>
      </x:c>
      <x:c r="D64" s="54" t="str">
        <x:v>364 blendshape statistics</x:v>
      </x:c>
      <x:c r="E64" s="54" t="n">
        <x:v>1729</x:v>
      </x:c>
      <x:c r="F64" s="54" t="str">
        <x:v>Confusion</x:v>
      </x:c>
      <x:c r="G64" s="55" t="n">
        <x:v>0.5186038270729979</x:v>
      </x:c>
      <x:c r="H64" s="55" t="n">
        <x:v>0.5262371585737966</x:v>
      </x:c>
      <x:c r="I64" s="55" t="n">
        <x:v>0.8186429930247305</x:v>
      </x:c>
      <x:c r="J64" s="56" t="n">
        <x:v>0.1813570069752695</x:v>
      </x:c>
      <x:c r="K64" s="56" t="n">
        <x:v>0.042216851913986275</x:v>
      </x:c>
      <x:c r="L64" s="55" t="n">
        <x:v>0.11442786069651742</x:v>
      </x:c>
      <x:c r="M64" s="55" t="n">
        <x:v>0.17557251908396945</x:v>
      </x:c>
      <x:c r="N64" s="55" t="n">
        <x:v>0.8769017980636238</x:v>
      </x:c>
      <x:c r="O64" s="57" t="n">
        <x:v>1446</x:v>
      </x:c>
      <x:c r="P64" s="57" t="n">
        <x:v>131</x:v>
      </x:c>
      <x:c r="Q64" s="55" t="n">
        <x:v>0.17557251908396945</x:v>
      </x:c>
      <x:c r="R64" s="54" t="str">
        <x:v>ml/artifacts/model-binary-xgboost/metrics.json</x:v>
      </x:c>
    </x:row>
    <x:row r="65">
      <x:c r="A65" s="54" t="str">
        <x:v>Binary Low/High</x:v>
      </x:c>
      <x:c r="B65" s="54" t="str">
        <x:v>Direct binary XGBoost</x:v>
      </x:c>
      <x:c r="C65" s="54" t="str">
        <x:v>XGBoost</x:v>
      </x:c>
      <x:c r="D65" s="54" t="str">
        <x:v>364 blendshape statistics</x:v>
      </x:c>
      <x:c r="E65" s="54" t="n">
        <x:v>1729</x:v>
      </x:c>
      <x:c r="F65" s="54" t="str">
        <x:v>Frustration</x:v>
      </x:c>
      <x:c r="G65" s="55" t="n">
        <x:v>0.5058180802223028</x:v>
      </x:c>
      <x:c r="H65" s="55" t="n">
        <x:v>0.5072943722943722</x:v>
      </x:c>
      <x:c r="I65" s="55" t="n">
        <x:v>0.8947368421052632</x:v>
      </x:c>
      <x:c r="J65" s="56" t="n">
        <x:v>0.10526315789473684</x:v>
      </x:c>
      <x:c r="K65" s="56" t="n">
        <x:v>0.012709691045136418</x:v>
      </x:c>
      <x:c r="L65" s="55" t="n">
        <x:v>0.0594059405940594</x:v>
      </x:c>
      <x:c r="M65" s="55" t="n">
        <x:v>0.07792207792207792</x:v>
      </x:c>
      <x:c r="N65" s="55" t="n">
        <x:v>0.9366666666666666</x:v>
      </x:c>
      <x:c r="O65" s="57" t="n">
        <x:v>1500</x:v>
      </x:c>
      <x:c r="P65" s="57" t="n">
        <x:v>77</x:v>
      </x:c>
      <x:c r="Q65" s="55" t="n">
        <x:v>0.07792207792207792</x:v>
      </x:c>
      <x:c r="R65" s="54" t="str">
        <x:v>ml/artifacts/model-binary-xgboost/metrics.json</x:v>
      </x:c>
    </x:row>
    <x:row r="66">
      <x:c r="A66" s="54" t="str">
        <x:v>Binary Low/High</x:v>
      </x:c>
      <x:c r="B66" s="54" t="str">
        <x:v>Direct binary XGBoost</x:v>
      </x:c>
      <x:c r="C66" s="54" t="str">
        <x:v>XGBoost</x:v>
      </x:c>
      <x:c r="D66" s="54" t="str">
        <x:v>364 blendshape statistics</x:v>
      </x:c>
      <x:c r="E66" s="54" t="n">
        <x:v>42</x:v>
      </x:c>
      <x:c r="F66" s="54" t="str">
        <x:v>Boredom</x:v>
      </x:c>
      <x:c r="G66" s="55" t="n">
        <x:v>0.5715939290143507</x:v>
      </x:c>
      <x:c r="H66" s="55" t="n">
        <x:v>0.5713939589727023</x:v>
      </x:c>
      <x:c r="I66" s="55" t="n">
        <x:v>0.693722257450856</x:v>
      </x:c>
      <x:c r="J66" s="56" t="n">
        <x:v>0.3062777425491439</x:v>
      </x:c>
      <x:c r="K66" s="56" t="n">
        <x:v>0.14319219516145898</x:v>
      </x:c>
      <x:c r="L66" s="55" t="n">
        <x:v>0.3442622950819672</x:v>
      </x:c>
      <x:c r="M66" s="55" t="n">
        <x:v>0.34146341463414637</x:v>
      </x:c>
      <x:c r="N66" s="55" t="n">
        <x:v>0.8013245033112583</x:v>
      </x:c>
      <x:c r="O66" s="57" t="n">
        <x:v>1208</x:v>
      </x:c>
      <x:c r="P66" s="57" t="n">
        <x:v>369</x:v>
      </x:c>
      <x:c r="Q66" s="55" t="n">
        <x:v>0.34146341463414637</x:v>
      </x:c>
      <x:c r="R66" s="54" t="str">
        <x:v>ml/artifacts/model-binary-xgboost-seed42/metrics.json</x:v>
      </x:c>
    </x:row>
    <x:row r="67">
      <x:c r="A67" s="54" t="str">
        <x:v>Binary Low/High</x:v>
      </x:c>
      <x:c r="B67" s="54" t="str">
        <x:v>Direct binary XGBoost</x:v>
      </x:c>
      <x:c r="C67" s="54" t="str">
        <x:v>XGBoost</x:v>
      </x:c>
      <x:c r="D67" s="54" t="str">
        <x:v>364 blendshape statistics</x:v>
      </x:c>
      <x:c r="E67" s="54" t="n">
        <x:v>42</x:v>
      </x:c>
      <x:c r="F67" s="54" t="str">
        <x:v>Engagement</x:v>
      </x:c>
      <x:c r="G67" s="55" t="n">
        <x:v>0.6028374748153122</x:v>
      </x:c>
      <x:c r="H67" s="55" t="n">
        <x:v>0.6100660739048862</x:v>
      </x:c>
      <x:c r="I67" s="55" t="n">
        <x:v>0.9162967660114141</x:v>
      </x:c>
      <x:c r="J67" s="56" t="n">
        <x:v>0.08370323398858592</x:v>
      </x:c>
      <x:c r="K67" s="56" t="n">
        <x:v>0.2058931241798151</x:v>
      </x:c>
      <x:c r="L67" s="55" t="n">
        <x:v>0.959541469993257</x:v>
      </x:c>
      <x:c r="M67" s="55" t="n">
        <x:v>0.9518394648829431</x:v>
      </x:c>
      <x:c r="N67" s="55" t="n">
        <x:v>0.2682926829268293</x:v>
      </x:c>
      <x:c r="O67" s="57" t="n">
        <x:v>82</x:v>
      </x:c>
      <x:c r="P67" s="57" t="n">
        <x:v>1495</x:v>
      </x:c>
      <x:c r="Q67" s="55" t="n">
        <x:v>0.2682926829268293</x:v>
      </x:c>
      <x:c r="R67" s="54" t="str">
        <x:v>ml/artifacts/model-binary-xgboost-seed42/metrics.json</x:v>
      </x:c>
    </x:row>
    <x:row r="68">
      <x:c r="A68" s="54" t="str">
        <x:v>Binary Low/High</x:v>
      </x:c>
      <x:c r="B68" s="54" t="str">
        <x:v>Direct binary XGBoost</x:v>
      </x:c>
      <x:c r="C68" s="54" t="str">
        <x:v>XGBoost</x:v>
      </x:c>
      <x:c r="D68" s="54" t="str">
        <x:v>364 blendshape statistics</x:v>
      </x:c>
      <x:c r="E68" s="54" t="n">
        <x:v>42</x:v>
      </x:c>
      <x:c r="F68" s="54" t="str">
        <x:v>Confusion</x:v>
      </x:c>
      <x:c r="G68" s="55" t="n">
        <x:v>0.5299552906110283</x:v>
      </x:c>
      <x:c r="H68" s="55" t="n">
        <x:v>0.5355732581588589</x:v>
      </x:c>
      <x:c r="I68" s="55" t="n">
        <x:v>0.8357641090678504</x:v>
      </x:c>
      <x:c r="J68" s="56" t="n">
        <x:v>0.16423589093214966</x:v>
      </x:c>
      <x:c r="K68" s="56" t="n">
        <x:v>0.06190671961451266</x:v>
      </x:c>
      <x:c r="L68" s="55" t="n">
        <x:v>0.13218390804597702</x:v>
      </x:c>
      <x:c r="M68" s="55" t="n">
        <x:v>0.17557251908396945</x:v>
      </x:c>
      <x:c r="N68" s="55" t="n">
        <x:v>0.8955739972337483</x:v>
      </x:c>
      <x:c r="O68" s="57" t="n">
        <x:v>1446</x:v>
      </x:c>
      <x:c r="P68" s="57" t="n">
        <x:v>131</x:v>
      </x:c>
      <x:c r="Q68" s="55" t="n">
        <x:v>0.17557251908396945</x:v>
      </x:c>
      <x:c r="R68" s="54" t="str">
        <x:v>ml/artifacts/model-binary-xgboost-seed42/metrics.json</x:v>
      </x:c>
    </x:row>
    <x:row r="69">
      <x:c r="A69" s="54" t="str">
        <x:v>Binary Low/High</x:v>
      </x:c>
      <x:c r="B69" s="54" t="str">
        <x:v>Direct binary XGBoost</x:v>
      </x:c>
      <x:c r="C69" s="54" t="str">
        <x:v>XGBoost</x:v>
      </x:c>
      <x:c r="D69" s="54" t="str">
        <x:v>364 blendshape statistics</x:v>
      </x:c>
      <x:c r="E69" s="54" t="n">
        <x:v>42</x:v>
      </x:c>
      <x:c r="F69" s="54" t="str">
        <x:v>Frustration</x:v>
      </x:c>
      <x:c r="G69" s="55" t="n">
        <x:v>0.5084366968376355</x:v>
      </x:c>
      <x:c r="H69" s="55" t="n">
        <x:v>0.5096277056277057</x:v>
      </x:c>
      <x:c r="I69" s="55" t="n">
        <x:v>0.8991756499682942</x:v>
      </x:c>
      <x:c r="J69" s="56" t="n">
        <x:v>0.10082435003170577</x:v>
      </x:c>
      <x:c r="K69" s="56" t="n">
        <x:v>0.01743008178188099</x:v>
      </x:c>
      <x:c r="L69" s="55" t="n">
        <x:v>0.06382978723404255</x:v>
      </x:c>
      <x:c r="M69" s="55" t="n">
        <x:v>0.07792207792207792</x:v>
      </x:c>
      <x:c r="N69" s="55" t="n">
        <x:v>0.9413333333333334</x:v>
      </x:c>
      <x:c r="O69" s="57" t="n">
        <x:v>1500</x:v>
      </x:c>
      <x:c r="P69" s="57" t="n">
        <x:v>77</x:v>
      </x:c>
      <x:c r="Q69" s="55" t="n">
        <x:v>0.07792207792207792</x:v>
      </x:c>
      <x:c r="R69" s="54" t="str">
        <x:v>ml/artifacts/model-binary-xgboost-seed42/metrics.json</x:v>
      </x:c>
    </x:row>
    <x:row r="70">
      <x:c r="A70" s="54" t="str">
        <x:v>Binary Low/High</x:v>
      </x:c>
      <x:c r="B70" s="54" t="str">
        <x:v>Binary TCN</x:v>
      </x:c>
      <x:c r="C70" s="54" t="str">
        <x:v>TCN-CORN</x:v>
      </x:c>
      <x:c r="D70" s="54" t="str">
        <x:v>52 blendshapes + temporal deltas</x:v>
      </x:c>
      <x:c r="E70" s="54" t="n">
        <x:v>1729</x:v>
      </x:c>
      <x:c r="F70" s="54" t="str">
        <x:v>Boredom</x:v>
      </x:c>
      <x:c r="G70" s="55" t="n">
        <x:v>0.5868993135011441</x:v>
      </x:c>
      <x:c r="H70" s="55" t="n">
        <x:v>0.6023068881351065</x:v>
      </x:c>
      <x:c r="I70" s="55" t="n">
        <x:v>0.6689917564996829</x:v>
      </x:c>
      <x:c r="J70" s="56" t="n">
        <x:v>0.33100824350031705</x:v>
      </x:c>
      <x:c r="K70" s="56" t="n">
        <x:v>0.1813967271541197</x:v>
      </x:c>
      <x:c r="L70" s="55" t="n">
        <x:v>0.3485148514851485</x:v>
      </x:c>
      <x:c r="M70" s="55" t="n">
        <x:v>0.47696476964769646</x:v>
      </x:c>
      <x:c r="N70" s="55" t="n">
        <x:v>0.7276490066225165</x:v>
      </x:c>
      <x:c r="O70" s="57" t="n">
        <x:v>1208</x:v>
      </x:c>
      <x:c r="P70" s="57" t="n">
        <x:v>369</x:v>
      </x:c>
      <x:c r="Q70" s="55" t="n">
        <x:v>0.47696476964769646</x:v>
      </x:c>
      <x:c r="R70" s="54" t="str">
        <x:v>ml/artifacts/model-binary-tcn/metrics.json</x:v>
      </x:c>
    </x:row>
    <x:row r="71">
      <x:c r="A71" s="54" t="str">
        <x:v>Binary Low/High</x:v>
      </x:c>
      <x:c r="B71" s="54" t="str">
        <x:v>Binary TCN</x:v>
      </x:c>
      <x:c r="C71" s="54" t="str">
        <x:v>TCN-CORN</x:v>
      </x:c>
      <x:c r="D71" s="54" t="str">
        <x:v>52 blendshapes + temporal deltas</x:v>
      </x:c>
      <x:c r="E71" s="54" t="n">
        <x:v>1729</x:v>
      </x:c>
      <x:c r="F71" s="54" t="str">
        <x:v>Engagement</x:v>
      </x:c>
      <x:c r="G71" s="55" t="n">
        <x:v>0.5827189708397423</x:v>
      </x:c>
      <x:c r="H71" s="55" t="n">
        <x:v>0.5784974304592544</x:v>
      </x:c>
      <x:c r="I71" s="55" t="n">
        <x:v>0.922003804692454</x:v>
      </x:c>
      <x:c r="J71" s="56" t="n">
        <x:v>0.07799619530754598</x:v>
      </x:c>
      <x:c r="K71" s="56" t="n">
        <x:v>0.16558334014445308</x:v>
      </x:c>
      <x:c r="L71" s="55" t="n">
        <x:v>0.9561170212765957</x:v>
      </x:c>
      <x:c r="M71" s="55" t="n">
        <x:v>0.9618729096989966</x:v>
      </x:c>
      <x:c r="N71" s="55" t="n">
        <x:v>0.1951219512195122</x:v>
      </x:c>
      <x:c r="O71" s="57" t="n">
        <x:v>82</x:v>
      </x:c>
      <x:c r="P71" s="57" t="n">
        <x:v>1495</x:v>
      </x:c>
      <x:c r="Q71" s="55" t="n">
        <x:v>0.1951219512195122</x:v>
      </x:c>
      <x:c r="R71" s="54" t="str">
        <x:v>ml/artifacts/model-binary-tcn/metrics.json</x:v>
      </x:c>
    </x:row>
    <x:row r="72">
      <x:c r="A72" s="54" t="str">
        <x:v>Binary Low/High</x:v>
      </x:c>
      <x:c r="B72" s="54" t="str">
        <x:v>Binary TCN</x:v>
      </x:c>
      <x:c r="C72" s="54" t="str">
        <x:v>TCN-CORN</x:v>
      </x:c>
      <x:c r="D72" s="54" t="str">
        <x:v>52 blendshapes + temporal deltas</x:v>
      </x:c>
      <x:c r="E72" s="54" t="n">
        <x:v>1729</x:v>
      </x:c>
      <x:c r="F72" s="54" t="str">
        <x:v>Confusion</x:v>
      </x:c>
      <x:c r="G72" s="55" t="n">
        <x:v>0.48571771666334457</x:v>
      </x:c>
      <x:c r="H72" s="55" t="n">
        <x:v>0.5720360457381775</x:v>
      </x:c>
      <x:c r="I72" s="55" t="n">
        <x:v>0.6607482561826252</x:v>
      </x:c>
      <x:c r="J72" s="56" t="n">
        <x:v>0.3392517438173748</x:v>
      </x:c>
      <x:c r="K72" s="56" t="n">
        <x:v>0.060762994043040086</x:v>
      </x:c>
      <x:c r="L72" s="55" t="n">
        <x:v>0.11596958174904944</x:v>
      </x:c>
      <x:c r="M72" s="55" t="n">
        <x:v>0.46564885496183206</x:v>
      </x:c>
      <x:c r="N72" s="55" t="n">
        <x:v>0.6784232365145229</x:v>
      </x:c>
      <x:c r="O72" s="57" t="n">
        <x:v>1446</x:v>
      </x:c>
      <x:c r="P72" s="57" t="n">
        <x:v>131</x:v>
      </x:c>
      <x:c r="Q72" s="55" t="n">
        <x:v>0.46564885496183206</x:v>
      </x:c>
      <x:c r="R72" s="54" t="str">
        <x:v>ml/artifacts/model-binary-tcn/metrics.json</x:v>
      </x:c>
    </x:row>
    <x:row r="73">
      <x:c r="A73" s="54" t="str">
        <x:v>Binary Low/High</x:v>
      </x:c>
      <x:c r="B73" s="54" t="str">
        <x:v>Binary TCN</x:v>
      </x:c>
      <x:c r="C73" s="54" t="str">
        <x:v>TCN-CORN</x:v>
      </x:c>
      <x:c r="D73" s="54" t="str">
        <x:v>52 blendshapes + temporal deltas</x:v>
      </x:c>
      <x:c r="E73" s="54" t="n">
        <x:v>1729</x:v>
      </x:c>
      <x:c r="F73" s="54" t="str">
        <x:v>Frustration</x:v>
      </x:c>
      <x:c r="G73" s="55" t="n">
        <x:v>0.5183016013836055</x:v>
      </x:c>
      <x:c r="H73" s="55" t="n">
        <x:v>0.5758441558441558</x:v>
      </x:c>
      <x:c r="I73" s="55" t="n">
        <x:v>0.8142041851616995</x:v>
      </x:c>
      <x:c r="J73" s="56" t="n">
        <x:v>0.18579581483830057</x:v>
      </x:c>
      <x:c r="K73" s="56" t="n">
        <x:v>0.07048869344459185</x:v>
      </x:c>
      <x:c r="L73" s="55" t="n">
        <x:v>0.09090909090909091</x:v>
      </x:c>
      <x:c r="M73" s="55" t="n">
        <x:v>0.3116883116883117</x:v>
      </x:c>
      <x:c r="N73" s="55" t="n">
        <x:v>0.84</x:v>
      </x:c>
      <x:c r="O73" s="57" t="n">
        <x:v>1500</x:v>
      </x:c>
      <x:c r="P73" s="57" t="n">
        <x:v>77</x:v>
      </x:c>
      <x:c r="Q73" s="55" t="n">
        <x:v>0.3116883116883117</x:v>
      </x:c>
      <x:c r="R73" s="54" t="str">
        <x:v>ml/artifacts/model-binary-tcn/metrics.json</x:v>
      </x:c>
    </x:row>
    <x:row r="74">
      <x:c r="A74" s="54" t="str">
        <x:v>Binary Low/High</x:v>
      </x:c>
      <x:c r="B74" s="54" t="str">
        <x:v>Binary TCN</x:v>
      </x:c>
      <x:c r="C74" s="54" t="str">
        <x:v>TCN-CORN</x:v>
      </x:c>
      <x:c r="D74" s="54" t="str">
        <x:v>52 blendshapes + temporal deltas</x:v>
      </x:c>
      <x:c r="E74" s="54" t="n">
        <x:v>42</x:v>
      </x:c>
      <x:c r="F74" s="54" t="str">
        <x:v>Boredom</x:v>
      </x:c>
      <x:c r="G74" s="55" t="n">
        <x:v>0.5604480924611779</x:v>
      </x:c>
      <x:c r="H74" s="55" t="n">
        <x:v>0.5627411654911251</x:v>
      </x:c>
      <x:c r="I74" s="55" t="n">
        <x:v>0.6746987951807228</x:v>
      </x:c>
      <x:c r="J74" s="56" t="n">
        <x:v>0.3253012048192771</x:v>
      </x:c>
      <x:c r="K74" s="56" t="n">
        <x:v>0.12148090553596669</x:v>
      </x:c>
      <x:c r="L74" s="55" t="n">
        <x:v>0.3217821782178218</x:v>
      </x:c>
      <x:c r="M74" s="55" t="n">
        <x:v>0.3523035230352303</x:v>
      </x:c>
      <x:c r="N74" s="55" t="n">
        <x:v>0.7731788079470199</x:v>
      </x:c>
      <x:c r="O74" s="57" t="n">
        <x:v>1208</x:v>
      </x:c>
      <x:c r="P74" s="57" t="n">
        <x:v>369</x:v>
      </x:c>
      <x:c r="Q74" s="55" t="n">
        <x:v>0.3523035230352303</x:v>
      </x:c>
      <x:c r="R74" s="54" t="str">
        <x:v>ml/artifacts/model-binary-tcn-seed42/metrics.json</x:v>
      </x:c>
    </x:row>
    <x:row r="75">
      <x:c r="A75" s="54" t="str">
        <x:v>Binary Low/High</x:v>
      </x:c>
      <x:c r="B75" s="54" t="str">
        <x:v>Binary TCN</x:v>
      </x:c>
      <x:c r="C75" s="54" t="str">
        <x:v>TCN-CORN</x:v>
      </x:c>
      <x:c r="D75" s="54" t="str">
        <x:v>52 blendshapes + temporal deltas</x:v>
      </x:c>
      <x:c r="E75" s="54" t="n">
        <x:v>42</x:v>
      </x:c>
      <x:c r="F75" s="54" t="str">
        <x:v>Engagement</x:v>
      </x:c>
      <x:c r="G75" s="55" t="n">
        <x:v>0.5850623966320854</x:v>
      </x:c>
      <x:c r="H75" s="55" t="n">
        <x:v>0.6027082143731136</x:v>
      </x:c>
      <x:c r="I75" s="55" t="n">
        <x:v>0.9023462270133165</x:v>
      </x:c>
      <x:c r="J75" s="56" t="n">
        <x:v>0.09765377298668358</x:v>
      </x:c>
      <x:c r="K75" s="56" t="n">
        <x:v>0.17176064551773063</x:v>
      </x:c>
      <x:c r="L75" s="55" t="n">
        <x:v>0.9589322381930184</x:v>
      </x:c>
      <x:c r="M75" s="55" t="n">
        <x:v>0.937123745819398</x:v>
      </x:c>
      <x:c r="N75" s="55" t="n">
        <x:v>0.2682926829268293</x:v>
      </x:c>
      <x:c r="O75" s="57" t="n">
        <x:v>82</x:v>
      </x:c>
      <x:c r="P75" s="57" t="n">
        <x:v>1495</x:v>
      </x:c>
      <x:c r="Q75" s="55" t="n">
        <x:v>0.2682926829268293</x:v>
      </x:c>
      <x:c r="R75" s="54" t="str">
        <x:v>ml/artifacts/model-binary-tcn-seed42/metrics.json</x:v>
      </x:c>
    </x:row>
    <x:row r="76">
      <x:c r="A76" s="54" t="str">
        <x:v>Binary Low/High</x:v>
      </x:c>
      <x:c r="B76" s="54" t="str">
        <x:v>Binary TCN</x:v>
      </x:c>
      <x:c r="C76" s="54" t="str">
        <x:v>TCN-CORN</x:v>
      </x:c>
      <x:c r="D76" s="54" t="str">
        <x:v>52 blendshapes + temporal deltas</x:v>
      </x:c>
      <x:c r="E76" s="54" t="n">
        <x:v>42</x:v>
      </x:c>
      <x:c r="F76" s="54" t="str">
        <x:v>Confusion</x:v>
      </x:c>
      <x:c r="G76" s="55" t="n">
        <x:v>0.5615100582516531</x:v>
      </x:c>
      <x:c r="H76" s="55" t="n">
        <x:v>0.5876648400958686</x:v>
      </x:c>
      <x:c r="I76" s="55" t="n">
        <x:v>0.8230818008877616</x:v>
      </x:c>
      <x:c r="J76" s="56" t="n">
        <x:v>0.17691819911223844</x:v>
      </x:c>
      <x:c r="K76" s="56" t="n">
        <x:v>0.131167223201891</x:v>
      </x:c>
      <x:c r="L76" s="55" t="n">
        <x:v>0.17543859649122806</x:v>
      </x:c>
      <x:c r="M76" s="55" t="n">
        <x:v>0.3053435114503817</x:v>
      </x:c>
      <x:c r="N76" s="55" t="n">
        <x:v>0.8699861687413555</x:v>
      </x:c>
      <x:c r="O76" s="57" t="n">
        <x:v>1446</x:v>
      </x:c>
      <x:c r="P76" s="57" t="n">
        <x:v>131</x:v>
      </x:c>
      <x:c r="Q76" s="55" t="n">
        <x:v>0.3053435114503817</x:v>
      </x:c>
      <x:c r="R76" s="54" t="str">
        <x:v>ml/artifacts/model-binary-tcn-seed42/metrics.json</x:v>
      </x:c>
    </x:row>
    <x:row r="77">
      <x:c r="A77" s="54" t="str">
        <x:v>Binary Low/High</x:v>
      </x:c>
      <x:c r="B77" s="54" t="str">
        <x:v>Binary TCN</x:v>
      </x:c>
      <x:c r="C77" s="54" t="str">
        <x:v>TCN-CORN</x:v>
      </x:c>
      <x:c r="D77" s="54" t="str">
        <x:v>52 blendshapes + temporal deltas</x:v>
      </x:c>
      <x:c r="E77" s="54" t="n">
        <x:v>42</x:v>
      </x:c>
      <x:c r="F77" s="54" t="str">
        <x:v>Frustration</x:v>
      </x:c>
      <x:c r="G77" s="55" t="n">
        <x:v>0.5079702745631949</x:v>
      </x:c>
      <x:c r="H77" s="55" t="n">
        <x:v>0.5151082251082251</x:v>
      </x:c>
      <x:c r="I77" s="55" t="n">
        <x:v>0.8744451490171211</x:v>
      </x:c>
      <x:c r="J77" s="56" t="n">
        <x:v>0.12555485098287889</x:v>
      </x:c>
      <x:c r="K77" s="56" t="n">
        <x:v>0.02186538690457529</x:v>
      </x:c>
      <x:c r="L77" s="55" t="n">
        <x:v>0.06474820143884892</x:v>
      </x:c>
      <x:c r="M77" s="55" t="n">
        <x:v>0.11688311688311688</x:v>
      </x:c>
      <x:c r="N77" s="55" t="n">
        <x:v>0.9133333333333333</x:v>
      </x:c>
      <x:c r="O77" s="57" t="n">
        <x:v>1500</x:v>
      </x:c>
      <x:c r="P77" s="57" t="n">
        <x:v>77</x:v>
      </x:c>
      <x:c r="Q77" s="55" t="n">
        <x:v>0.11688311688311688</x:v>
      </x:c>
      <x:c r="R77" s="54" t="str">
        <x:v>ml/artifacts/model-binary-tcn-seed42/metrics.json</x:v>
      </x:c>
    </x:row>
    <x:row r="78">
      <x:c r="A78" s="54" t="str">
        <x:v>Binary Low/High</x:v>
      </x:c>
      <x:c r="B78" s="54" t="str">
        <x:v>Binary BiLSTM</x:v>
      </x:c>
      <x:c r="C78" s="54" t="str">
        <x:v>BiLSTM-CORN</x:v>
      </x:c>
      <x:c r="D78" s="54" t="str">
        <x:v>52 blendshapes + temporal deltas</x:v>
      </x:c>
      <x:c r="E78" s="54" t="n">
        <x:v>1729</x:v>
      </x:c>
      <x:c r="F78" s="54" t="str">
        <x:v>Boredom</x:v>
      </x:c>
      <x:c r="G78" s="55" t="n">
        <x:v>0.5739568232515844</x:v>
      </x:c>
      <x:c r="H78" s="55" t="n">
        <x:v>0.5887960121323068</x:v>
      </x:c>
      <x:c r="I78" s="55" t="n">
        <x:v>0.6569435637285986</x:v>
      </x:c>
      <x:c r="J78" s="56" t="n">
        <x:v>0.3430564362714014</x:v>
      </x:c>
      <x:c r="K78" s="56" t="n">
        <x:v>0.15652691449468648</x:v>
      </x:c>
      <x:c r="L78" s="55" t="n">
        <x:v>0.33203125</x:v>
      </x:c>
      <x:c r="M78" s="55" t="n">
        <x:v>0.46070460704607047</x:v>
      </x:c>
      <x:c r="N78" s="55" t="n">
        <x:v>0.7168874172185431</x:v>
      </x:c>
      <x:c r="O78" s="57" t="n">
        <x:v>1208</x:v>
      </x:c>
      <x:c r="P78" s="57" t="n">
        <x:v>369</x:v>
      </x:c>
      <x:c r="Q78" s="55" t="n">
        <x:v>0.46070460704607047</x:v>
      </x:c>
      <x:c r="R78" s="54" t="str">
        <x:v>ml/artifacts/model-binary-lstm/metrics.json</x:v>
      </x:c>
    </x:row>
    <x:row r="79">
      <x:c r="A79" s="54" t="str">
        <x:v>Binary Low/High</x:v>
      </x:c>
      <x:c r="B79" s="54" t="str">
        <x:v>Binary BiLSTM</x:v>
      </x:c>
      <x:c r="C79" s="54" t="str">
        <x:v>BiLSTM-CORN</x:v>
      </x:c>
      <x:c r="D79" s="54" t="str">
        <x:v>52 blendshapes + temporal deltas</x:v>
      </x:c>
      <x:c r="E79" s="54" t="n">
        <x:v>1729</x:v>
      </x:c>
      <x:c r="F79" s="54" t="str">
        <x:v>Engagement</x:v>
      </x:c>
      <x:c r="G79" s="55" t="n">
        <x:v>0.5866620536369546</x:v>
      </x:c>
      <x:c r="H79" s="55" t="n">
        <x:v>0.5689003997063382</x:v>
      </x:c>
      <x:c r="I79" s="55" t="n">
        <x:v>0.9365884590995561</x:v>
      </x:c>
      <x:c r="J79" s="56" t="n">
        <x:v>0.06341154090044387</x:v>
      </x:c>
      <x:c r="K79" s="56" t="n">
        <x:v>0.17644109752148984</x:v>
      </x:c>
      <x:c r="L79" s="55" t="n">
        <x:v>0.9549902152641878</x:v>
      </x:c>
      <x:c r="M79" s="55" t="n">
        <x:v>0.9792642140468227</x:v>
      </x:c>
      <x:c r="N79" s="55" t="n">
        <x:v>0.15853658536585366</x:v>
      </x:c>
      <x:c r="O79" s="57" t="n">
        <x:v>82</x:v>
      </x:c>
      <x:c r="P79" s="57" t="n">
        <x:v>1495</x:v>
      </x:c>
      <x:c r="Q79" s="55" t="n">
        <x:v>0.15853658536585366</x:v>
      </x:c>
      <x:c r="R79" s="54" t="str">
        <x:v>ml/artifacts/model-binary-lstm/metrics.json</x:v>
      </x:c>
    </x:row>
    <x:row r="80">
      <x:c r="A80" s="54" t="str">
        <x:v>Binary Low/High</x:v>
      </x:c>
      <x:c r="B80" s="54" t="str">
        <x:v>Binary BiLSTM</x:v>
      </x:c>
      <x:c r="C80" s="54" t="str">
        <x:v>BiLSTM-CORN</x:v>
      </x:c>
      <x:c r="D80" s="54" t="str">
        <x:v>52 blendshapes + temporal deltas</x:v>
      </x:c>
      <x:c r="E80" s="54" t="n">
        <x:v>1729</x:v>
      </x:c>
      <x:c r="F80" s="54" t="str">
        <x:v>Confusion</x:v>
      </x:c>
      <x:c r="G80" s="55" t="n">
        <x:v>0.513836050605811</x:v>
      </x:c>
      <x:c r="H80" s="55" t="n">
        <x:v>0.6014538658895823</x:v>
      </x:c>
      <x:c r="I80" s="55" t="n">
        <x:v>0.7019657577679138</x:v>
      </x:c>
      <x:c r="J80" s="56" t="n">
        <x:v>0.29803424223208624</x:v>
      </x:c>
      <x:c r="K80" s="56" t="n">
        <x:v>0.09396842782087422</x:v>
      </x:c>
      <x:c r="L80" s="55" t="n">
        <x:v>0.13548387096774195</x:v>
      </x:c>
      <x:c r="M80" s="55" t="n">
        <x:v>0.48091603053435117</x:v>
      </x:c>
      <x:c r="N80" s="55" t="n">
        <x:v>0.7219917012448133</x:v>
      </x:c>
      <x:c r="O80" s="57" t="n">
        <x:v>1446</x:v>
      </x:c>
      <x:c r="P80" s="57" t="n">
        <x:v>131</x:v>
      </x:c>
      <x:c r="Q80" s="55" t="n">
        <x:v>0.48091603053435117</x:v>
      </x:c>
      <x:c r="R80" s="54" t="str">
        <x:v>ml/artifacts/model-binary-lstm/metrics.json</x:v>
      </x:c>
    </x:row>
    <x:row r="81">
      <x:c r="A81" s="54" t="str">
        <x:v>Binary Low/High</x:v>
      </x:c>
      <x:c r="B81" s="54" t="str">
        <x:v>Binary BiLSTM</x:v>
      </x:c>
      <x:c r="C81" s="54" t="str">
        <x:v>BiLSTM-CORN</x:v>
      </x:c>
      <x:c r="D81" s="54" t="str">
        <x:v>52 blendshapes + temporal deltas</x:v>
      </x:c>
      <x:c r="E81" s="54" t="n">
        <x:v>1729</x:v>
      </x:c>
      <x:c r="F81" s="54" t="str">
        <x:v>Frustration</x:v>
      </x:c>
      <x:c r="G81" s="55" t="n">
        <x:v>0.5433378179255557</x:v>
      </x:c>
      <x:c r="H81" s="55" t="n">
        <x:v>0.5372813852813852</x:v>
      </x:c>
      <x:c r="I81" s="55" t="n">
        <x:v>0.9283449587824985</x:v>
      </x:c>
      <x:c r="J81" s="56" t="n">
        <x:v>0.07165504121750159</x:v>
      </x:c>
      <x:c r="K81" s="56" t="n">
        <x:v>0.08813611359856721</x:v>
      </x:c>
      <x:c r="L81" s="55" t="n">
        <x:v>0.15384615384615385</x:v>
      </x:c>
      <x:c r="M81" s="55" t="n">
        <x:v>0.1038961038961039</x:v>
      </x:c>
      <x:c r="N81" s="55" t="n">
        <x:v>0.9706666666666667</x:v>
      </x:c>
      <x:c r="O81" s="57" t="n">
        <x:v>1500</x:v>
      </x:c>
      <x:c r="P81" s="57" t="n">
        <x:v>77</x:v>
      </x:c>
      <x:c r="Q81" s="55" t="n">
        <x:v>0.1038961038961039</x:v>
      </x:c>
      <x:c r="R81" s="54" t="str">
        <x:v>ml/artifacts/model-binary-lstm/metrics.json</x:v>
      </x:c>
    </x:row>
    <x:row r="82">
      <x:c r="A82" s="54" t="str">
        <x:v>Binary Low/High</x:v>
      </x:c>
      <x:c r="B82" s="54" t="str">
        <x:v>Binary TCN + behaviour</x:v>
      </x:c>
      <x:c r="C82" s="54" t="str">
        <x:v>TCN-CORN</x:v>
      </x:c>
      <x:c r="D82" s="54" t="str">
        <x:v>52 blendshapes + 12 behaviours + deltas</x:v>
      </x:c>
      <x:c r="E82" s="54" t="n">
        <x:v>1729</x:v>
      </x:c>
      <x:c r="F82" s="54" t="str">
        <x:v>Boredom</x:v>
      </x:c>
      <x:c r="G82" s="55" t="n">
        <x:v>0.5709628760417635</x:v>
      </x:c>
      <x:c r="H82" s="55" t="n">
        <x:v>0.592338340601949</x:v>
      </x:c>
      <x:c r="I82" s="55" t="n">
        <x:v>0.6436271401395054</x:v>
      </x:c>
      <x:c r="J82" s="56" t="n">
        <x:v>0.3563728598604946</x:v>
      </x:c>
      <x:c r="K82" s="56" t="n">
        <x:v>0.15666362804187595</x:v>
      </x:c>
      <x:c r="L82" s="55" t="n">
        <x:v>0.32737030411449014</x:v>
      </x:c>
      <x:c r="M82" s="55" t="n">
        <x:v>0.4959349593495935</x:v>
      </x:c>
      <x:c r="N82" s="55" t="n">
        <x:v>0.6887417218543046</x:v>
      </x:c>
      <x:c r="O82" s="57" t="n">
        <x:v>1208</x:v>
      </x:c>
      <x:c r="P82" s="57" t="n">
        <x:v>369</x:v>
      </x:c>
      <x:c r="Q82" s="55" t="n">
        <x:v>0.4959349593495935</x:v>
      </x:c>
      <x:c r="R82" s="54" t="str">
        <x:v>ml/artifacts/model-binary-tcn-behavior/metrics.json</x:v>
      </x:c>
    </x:row>
    <x:row r="83">
      <x:c r="A83" s="54" t="str">
        <x:v>Binary Low/High</x:v>
      </x:c>
      <x:c r="B83" s="54" t="str">
        <x:v>Binary TCN + behaviour</x:v>
      </x:c>
      <x:c r="C83" s="54" t="str">
        <x:v>TCN-CORN</x:v>
      </x:c>
      <x:c r="D83" s="54" t="str">
        <x:v>52 blendshapes + 12 behaviours + deltas</x:v>
      </x:c>
      <x:c r="E83" s="54" t="n">
        <x:v>1729</x:v>
      </x:c>
      <x:c r="F83" s="54" t="str">
        <x:v>Engagement</x:v>
      </x:c>
      <x:c r="G83" s="55" t="n">
        <x:v>0.5507161892071952</x:v>
      </x:c>
      <x:c r="H83" s="55" t="n">
        <x:v>0.5473407292601354</x:v>
      </x:c>
      <x:c r="I83" s="55" t="n">
        <x:v>0.9175649968294229</x:v>
      </x:c>
      <x:c r="J83" s="56" t="n">
        <x:v>0.08243500317057705</x:v>
      </x:c>
      <x:c r="K83" s="56" t="n">
        <x:v>0.1017158581043186</x:v>
      </x:c>
      <x:c r="L83" s="55" t="n">
        <x:v>0.9528865295288653</x:v>
      </x:c>
      <x:c r="M83" s="55" t="n">
        <x:v>0.9605351170568562</x:v>
      </x:c>
      <x:c r="N83" s="55" t="n">
        <x:v>0.13414634146341464</x:v>
      </x:c>
      <x:c r="O83" s="57" t="n">
        <x:v>82</x:v>
      </x:c>
      <x:c r="P83" s="57" t="n">
        <x:v>1495</x:v>
      </x:c>
      <x:c r="Q83" s="55" t="n">
        <x:v>0.13414634146341464</x:v>
      </x:c>
      <x:c r="R83" s="54" t="str">
        <x:v>ml/artifacts/model-binary-tcn-behavior/metrics.json</x:v>
      </x:c>
    </x:row>
    <x:row r="84">
      <x:c r="A84" s="54" t="str">
        <x:v>Binary Low/High</x:v>
      </x:c>
      <x:c r="B84" s="54" t="str">
        <x:v>Binary TCN + behaviour</x:v>
      </x:c>
      <x:c r="C84" s="54" t="str">
        <x:v>TCN-CORN</x:v>
      </x:c>
      <x:c r="D84" s="54" t="str">
        <x:v>52 blendshapes + 12 behaviours + deltas</x:v>
      </x:c>
      <x:c r="E84" s="54" t="n">
        <x:v>1729</x:v>
      </x:c>
      <x:c r="F84" s="54" t="str">
        <x:v>Confusion</x:v>
      </x:c>
      <x:c r="G84" s="55" t="n">
        <x:v>0.5476871670216046</x:v>
      </x:c>
      <x:c r="H84" s="55" t="n">
        <x:v>0.5839008372662675</x:v>
      </x:c>
      <x:c r="I84" s="55" t="n">
        <x:v>0.7970830691185796</x:v>
      </x:c>
      <x:c r="J84" s="56" t="n">
        <x:v>0.20291693088142043</x:v>
      </x:c>
      <x:c r="K84" s="56" t="n">
        <x:v>0.11188077689313147</x:v>
      </x:c>
      <x:c r="L84" s="55" t="n">
        <x:v>0.15636363636363637</x:v>
      </x:c>
      <x:c r="M84" s="55" t="n">
        <x:v>0.3282442748091603</x:v>
      </x:c>
      <x:c r="N84" s="55" t="n">
        <x:v>0.8395573997233748</x:v>
      </x:c>
      <x:c r="O84" s="57" t="n">
        <x:v>1446</x:v>
      </x:c>
      <x:c r="P84" s="57" t="n">
        <x:v>131</x:v>
      </x:c>
      <x:c r="Q84" s="55" t="n">
        <x:v>0.3282442748091603</x:v>
      </x:c>
      <x:c r="R84" s="54" t="str">
        <x:v>ml/artifacts/model-binary-tcn-behavior/metrics.json</x:v>
      </x:c>
    </x:row>
    <x:row r="85">
      <x:c r="A85" s="54" t="str">
        <x:v>Binary Low/High</x:v>
      </x:c>
      <x:c r="B85" s="54" t="str">
        <x:v>Binary TCN + behaviour</x:v>
      </x:c>
      <x:c r="C85" s="54" t="str">
        <x:v>TCN-CORN</x:v>
      </x:c>
      <x:c r="D85" s="54" t="str">
        <x:v>52 blendshapes + 12 behaviours + deltas</x:v>
      </x:c>
      <x:c r="E85" s="54" t="n">
        <x:v>1729</x:v>
      </x:c>
      <x:c r="F85" s="54" t="str">
        <x:v>Frustration</x:v>
      </x:c>
      <x:c r="G85" s="55" t="n">
        <x:v>0.5253366406803686</x:v>
      </x:c>
      <x:c r="H85" s="55" t="n">
        <x:v>0.5856709956709957</x:v>
      </x:c>
      <x:c r="I85" s="55" t="n">
        <x:v>0.8211794546607483</x:v>
      </x:c>
      <x:c r="J85" s="56" t="n">
        <x:v>0.17882054533925174</x:v>
      </x:c>
      <x:c r="K85" s="56" t="n">
        <x:v>0.08172721528658211</x:v>
      </x:c>
      <x:c r="L85" s="55" t="n">
        <x:v>0.09803921568627451</x:v>
      </x:c>
      <x:c r="M85" s="55" t="n">
        <x:v>0.3246753246753247</x:v>
      </x:c>
      <x:c r="N85" s="55" t="n">
        <x:v>0.8466666666666667</x:v>
      </x:c>
      <x:c r="O85" s="57" t="n">
        <x:v>1500</x:v>
      </x:c>
      <x:c r="P85" s="57" t="n">
        <x:v>77</x:v>
      </x:c>
      <x:c r="Q85" s="55" t="n">
        <x:v>0.3246753246753247</x:v>
      </x:c>
      <x:c r="R85" s="54" t="str">
        <x:v>ml/artifacts/model-binary-tcn-behavior/metrics.json</x:v>
      </x:c>
    </x:row>
    <x:row r="86">
      <x:c r="A86" s="54" t="str">
        <x:v>Binary Low/High</x:v>
      </x:c>
      <x:c r="B86" s="54" t="str">
        <x:v>Binary TCN + behaviour</x:v>
      </x:c>
      <x:c r="C86" s="54" t="str">
        <x:v>TCN-CORN</x:v>
      </x:c>
      <x:c r="D86" s="54" t="str">
        <x:v>52 blendshapes + 12 behaviours + deltas</x:v>
      </x:c>
      <x:c r="E86" s="54" t="n">
        <x:v>42</x:v>
      </x:c>
      <x:c r="F86" s="54" t="str">
        <x:v>Boredom</x:v>
      </x:c>
      <x:c r="G86" s="55" t="n">
        <x:v>0.5715230126247112</x:v>
      </x:c>
      <x:c r="H86" s="55" t="n">
        <x:v>0.5697731025323498</x:v>
      </x:c>
      <x:c r="I86" s="55" t="n">
        <x:v>0.7013316423589093</x:v>
      </x:c>
      <x:c r="J86" s="56" t="n">
        <x:v>0.2986683576410907</x:v>
      </x:c>
      <x:c r="K86" s="56" t="n">
        <x:v>0.14346156995201653</x:v>
      </x:c>
      <x:c r="L86" s="55" t="n">
        <x:v>0.35</x:v>
      </x:c>
      <x:c r="M86" s="55" t="n">
        <x:v>0.3224932249322493</x:v>
      </x:c>
      <x:c r="N86" s="55" t="n">
        <x:v>0.8170529801324503</x:v>
      </x:c>
      <x:c r="O86" s="57" t="n">
        <x:v>1208</x:v>
      </x:c>
      <x:c r="P86" s="57" t="n">
        <x:v>369</x:v>
      </x:c>
      <x:c r="Q86" s="55" t="n">
        <x:v>0.3224932249322493</x:v>
      </x:c>
      <x:c r="R86" s="54" t="str">
        <x:v>ml/artifacts/model-binary-tcn-behavior-seed42/metrics.json</x:v>
      </x:c>
    </x:row>
    <x:row r="87">
      <x:c r="A87" s="54" t="str">
        <x:v>Binary Low/High</x:v>
      </x:c>
      <x:c r="B87" s="54" t="str">
        <x:v>Binary TCN + behaviour</x:v>
      </x:c>
      <x:c r="C87" s="54" t="str">
        <x:v>TCN-CORN</x:v>
      </x:c>
      <x:c r="D87" s="54" t="str">
        <x:v>52 blendshapes + 12 behaviours + deltas</x:v>
      </x:c>
      <x:c r="E87" s="54" t="n">
        <x:v>42</x:v>
      </x:c>
      <x:c r="F87" s="54" t="str">
        <x:v>Engagement</x:v>
      </x:c>
      <x:c r="G87" s="55" t="n">
        <x:v>0.5800266311584554</x:v>
      </x:c>
      <x:c r="H87" s="55" t="n">
        <x:v>0.5737376621257851</x:v>
      </x:c>
      <x:c r="I87" s="55" t="n">
        <x:v>0.9239061509194674</x:v>
      </x:c>
      <x:c r="J87" s="56" t="n">
        <x:v>0.07609384908053266</x:v>
      </x:c>
      <x:c r="K87" s="56" t="n">
        <x:v>0.160418459791125</x:v>
      </x:c>
      <x:c r="L87" s="55" t="n">
        <x:v>0.9555997349237906</x:v>
      </x:c>
      <x:c r="M87" s="55" t="n">
        <x:v>0.9645484949832775</x:v>
      </x:c>
      <x:c r="N87" s="55" t="n">
        <x:v>0.18292682926829268</x:v>
      </x:c>
      <x:c r="O87" s="57" t="n">
        <x:v>82</x:v>
      </x:c>
      <x:c r="P87" s="57" t="n">
        <x:v>1495</x:v>
      </x:c>
      <x:c r="Q87" s="55" t="n">
        <x:v>0.18292682926829268</x:v>
      </x:c>
      <x:c r="R87" s="54" t="str">
        <x:v>ml/artifacts/model-binary-tcn-behavior-seed42/metrics.json</x:v>
      </x:c>
    </x:row>
    <x:row r="88">
      <x:c r="A88" s="54" t="str">
        <x:v>Binary Low/High</x:v>
      </x:c>
      <x:c r="B88" s="54" t="str">
        <x:v>Binary TCN + behaviour</x:v>
      </x:c>
      <x:c r="C88" s="54" t="str">
        <x:v>TCN-CORN</x:v>
      </x:c>
      <x:c r="D88" s="54" t="str">
        <x:v>52 blendshapes + 12 behaviours + deltas</x:v>
      </x:c>
      <x:c r="E88" s="54" t="n">
        <x:v>42</x:v>
      </x:c>
      <x:c r="F88" s="54" t="str">
        <x:v>Confusion</x:v>
      </x:c>
      <x:c r="G88" s="55" t="n">
        <x:v>0.5368201231424221</x:v>
      </x:c>
      <x:c r="H88" s="55" t="n">
        <x:v>0.5675963172954083</x:v>
      </x:c>
      <x:c r="I88" s="55" t="n">
        <x:v>0.7926442612555485</x:v>
      </x:c>
      <x:c r="J88" s="56" t="n">
        <x:v>0.20735573874445148</x:v>
      </x:c>
      <x:c r="K88" s="56" t="n">
        <x:v>0.090347982084929</x:v>
      </x:c>
      <x:c r="L88" s="55" t="n">
        <x:v>0.14233576642335766</x:v>
      </x:c>
      <x:c r="M88" s="55" t="n">
        <x:v>0.29770992366412213</x:v>
      </x:c>
      <x:c r="N88" s="55" t="n">
        <x:v>0.8374827109266944</x:v>
      </x:c>
      <x:c r="O88" s="57" t="n">
        <x:v>1446</x:v>
      </x:c>
      <x:c r="P88" s="57" t="n">
        <x:v>131</x:v>
      </x:c>
      <x:c r="Q88" s="55" t="n">
        <x:v>0.29770992366412213</x:v>
      </x:c>
      <x:c r="R88" s="54" t="str">
        <x:v>ml/artifacts/model-binary-tcn-behavior-seed42/metrics.json</x:v>
      </x:c>
    </x:row>
    <x:row r="89">
      <x:c r="A89" s="54" t="str">
        <x:v>Binary Low/High</x:v>
      </x:c>
      <x:c r="B89" s="54" t="str">
        <x:v>Binary TCN + behaviour</x:v>
      </x:c>
      <x:c r="C89" s="54" t="str">
        <x:v>TCN-CORN</x:v>
      </x:c>
      <x:c r="D89" s="54" t="str">
        <x:v>52 blendshapes + 12 behaviours + deltas</x:v>
      </x:c>
      <x:c r="E89" s="54" t="n">
        <x:v>42</x:v>
      </x:c>
      <x:c r="F89" s="54" t="str">
        <x:v>Frustration</x:v>
      </x:c>
      <x:c r="G89" s="55" t="n">
        <x:v>0.548093559410009</x:v>
      </x:c>
      <x:c r="H89" s="55" t="n">
        <x:v>0.5396147186147187</x:v>
      </x:c>
      <x:c r="I89" s="55" t="n">
        <x:v>0.9327837666455295</x:v>
      </x:c>
      <x:c r="J89" s="56" t="n">
        <x:v>0.06721623335447051</x:v>
      </x:c>
      <x:c r="K89" s="56" t="n">
        <x:v>0.09868222404348015</x:v>
      </x:c>
      <x:c r="L89" s="55" t="n">
        <x:v>0.17777777777777778</x:v>
      </x:c>
      <x:c r="M89" s="55" t="n">
        <x:v>0.1038961038961039</x:v>
      </x:c>
      <x:c r="N89" s="55" t="n">
        <x:v>0.9753333333333334</x:v>
      </x:c>
      <x:c r="O89" s="57" t="n">
        <x:v>1500</x:v>
      </x:c>
      <x:c r="P89" s="57" t="n">
        <x:v>77</x:v>
      </x:c>
      <x:c r="Q89" s="55" t="n">
        <x:v>0.1038961038961039</x:v>
      </x:c>
      <x:c r="R89" s="54" t="str">
        <x:v>ml/artifacts/model-binary-tcn-behavior-seed42/metrics.json</x:v>
      </x:c>
    </x:row>
    <x:row r="90">
      <x:c r="A90" s="54" t="str">
        <x:v>Binary Low/High</x:v>
      </x:c>
      <x:c r="B90" s="54" t="str">
        <x:v>Combined-feature XGBoost</x:v>
      </x:c>
      <x:c r="C90" s="54" t="str">
        <x:v>XGBoost</x:v>
      </x:c>
      <x:c r="D90" s="54" t="str">
        <x:v>364 blendshape + 84 behaviour statistics</x:v>
      </x:c>
      <x:c r="E90" s="54" t="n">
        <x:v>1729</x:v>
      </x:c>
      <x:c r="F90" s="54" t="str">
        <x:v>Boredom</x:v>
      </x:c>
      <x:c r="G90" s="55" t="n">
        <x:v>0.572726102387674</x:v>
      </x:c>
      <x:c r="H90" s="55" t="n">
        <x:v>0.5762913009924802</x:v>
      </x:c>
      <x:c r="I90" s="55" t="n">
        <x:v>0.6810399492707673</x:v>
      </x:c>
      <x:c r="J90" s="56" t="n">
        <x:v>0.3189600507292327</x:v>
      </x:c>
      <x:c r="K90" s="56" t="n">
        <x:v>0.1463833011033523</x:v>
      </x:c>
      <x:c r="L90" s="55" t="n">
        <x:v>0.33816425120772947</x:v>
      </x:c>
      <x:c r="M90" s="55" t="n">
        <x:v>0.3794037940379404</x:v>
      </x:c>
      <x:c r="N90" s="55" t="n">
        <x:v>0.7731788079470199</x:v>
      </x:c>
      <x:c r="O90" s="57" t="n">
        <x:v>1208</x:v>
      </x:c>
      <x:c r="P90" s="57" t="n">
        <x:v>369</x:v>
      </x:c>
      <x:c r="Q90" s="55" t="n">
        <x:v>0.3794037940379404</x:v>
      </x:c>
      <x:c r="R90" s="54" t="str">
        <x:v>ml/artifacts/model-binary-xgboost-behavior/metrics.json</x:v>
      </x:c>
    </x:row>
    <x:row r="91">
      <x:c r="A91" s="54" t="str">
        <x:v>Binary Low/High</x:v>
      </x:c>
      <x:c r="B91" s="54" t="str">
        <x:v>Combined-feature XGBoost</x:v>
      </x:c>
      <x:c r="C91" s="54" t="str">
        <x:v>XGBoost</x:v>
      </x:c>
      <x:c r="D91" s="54" t="str">
        <x:v>364 blendshape + 84 behaviour statistics</x:v>
      </x:c>
      <x:c r="E91" s="54" t="n">
        <x:v>1729</x:v>
      </x:c>
      <x:c r="F91" s="54" t="str">
        <x:v>Engagement</x:v>
      </x:c>
      <x:c r="G91" s="55" t="n">
        <x:v>0.5874209968283984</x:v>
      </x:c>
      <x:c r="H91" s="55" t="n">
        <x:v>0.6200750469043153</x:v>
      </x:c>
      <x:c r="I91" s="55" t="n">
        <x:v>0.891566265060241</x:v>
      </x:c>
      <x:c r="J91" s="56" t="n">
        <x:v>0.10843373493975904</x:v>
      </x:c>
      <x:c r="K91" s="56" t="n">
        <x:v>0.17921332412105406</x:v>
      </x:c>
      <x:c r="L91" s="55" t="n">
        <x:v>0.9610027855153204</x:v>
      </x:c>
      <x:c r="M91" s="55" t="n">
        <x:v>0.9230769230769231</x:v>
      </x:c>
      <x:c r="N91" s="55" t="n">
        <x:v>0.3170731707317073</x:v>
      </x:c>
      <x:c r="O91" s="57" t="n">
        <x:v>82</x:v>
      </x:c>
      <x:c r="P91" s="57" t="n">
        <x:v>1495</x:v>
      </x:c>
      <x:c r="Q91" s="55" t="n">
        <x:v>0.3170731707317073</x:v>
      </x:c>
      <x:c r="R91" s="54" t="str">
        <x:v>ml/artifacts/model-binary-xgboost-behavior/metrics.json</x:v>
      </x:c>
    </x:row>
    <x:row r="92">
      <x:c r="A92" s="54" t="str">
        <x:v>Binary Low/High</x:v>
      </x:c>
      <x:c r="B92" s="54" t="str">
        <x:v>Combined-feature XGBoost</x:v>
      </x:c>
      <x:c r="C92" s="54" t="str">
        <x:v>XGBoost</x:v>
      </x:c>
      <x:c r="D92" s="54" t="str">
        <x:v>364 blendshape + 84 behaviour statistics</x:v>
      </x:c>
      <x:c r="E92" s="54" t="n">
        <x:v>1729</x:v>
      </x:c>
      <x:c r="F92" s="54" t="str">
        <x:v>Confusion</x:v>
      </x:c>
      <x:c r="G92" s="55" t="n">
        <x:v>0.5418986133589438</x:v>
      </x:c>
      <x:c r="H92" s="55" t="n">
        <x:v>0.5473562235384795</x:v>
      </x:c>
      <x:c r="I92" s="55" t="n">
        <x:v>0.8446417247939125</x:v>
      </x:c>
      <x:c r="J92" s="56" t="n">
        <x:v>0.1553582752060875</x:v>
      </x:c>
      <x:c r="K92" s="56" t="n">
        <x:v>0.08497869730276342</x:v>
      </x:c>
      <x:c r="L92" s="55" t="n">
        <x:v>0.1524390243902439</x:v>
      </x:c>
      <x:c r="M92" s="55" t="n">
        <x:v>0.19083969465648856</x:v>
      </x:c>
      <x:c r="N92" s="55" t="n">
        <x:v>0.9038727524204703</x:v>
      </x:c>
      <x:c r="O92" s="57" t="n">
        <x:v>1446</x:v>
      </x:c>
      <x:c r="P92" s="57" t="n">
        <x:v>131</x:v>
      </x:c>
      <x:c r="Q92" s="55" t="n">
        <x:v>0.19083969465648856</x:v>
      </x:c>
      <x:c r="R92" s="54" t="str">
        <x:v>ml/artifacts/model-binary-xgboost-behavior/metrics.json</x:v>
      </x:c>
    </x:row>
    <x:row r="93">
      <x:c r="A93" s="54" t="str">
        <x:v>Binary Low/High</x:v>
      </x:c>
      <x:c r="B93" s="54" t="str">
        <x:v>Combined-feature XGBoost</x:v>
      </x:c>
      <x:c r="C93" s="54" t="str">
        <x:v>XGBoost</x:v>
      </x:c>
      <x:c r="D93" s="54" t="str">
        <x:v>364 blendshape + 84 behaviour statistics</x:v>
      </x:c>
      <x:c r="E93" s="54" t="n">
        <x:v>1729</x:v>
      </x:c>
      <x:c r="F93" s="54" t="str">
        <x:v>Frustration</x:v>
      </x:c>
      <x:c r="G93" s="55" t="n">
        <x:v>0.5137218624730189</x:v>
      </x:c>
      <x:c r="H93" s="55" t="n">
        <x:v>0.5128008658008658</x:v>
      </x:c>
      <x:c r="I93" s="55" t="n">
        <x:v>0.9169308814204186</x:v>
      </x:c>
      <x:c r="J93" s="56" t="n">
        <x:v>0.08306911857958148</x:v>
      </x:c>
      <x:c r="K93" s="56" t="n">
        <x:v>0.02783045726843625</x:v>
      </x:c>
      <x:c r="L93" s="55" t="n">
        <x:v>0.078125</x:v>
      </x:c>
      <x:c r="M93" s="55" t="n">
        <x:v>0.06493506493506493</x:v>
      </x:c>
      <x:c r="N93" s="55" t="n">
        <x:v>0.9606666666666667</x:v>
      </x:c>
      <x:c r="O93" s="57" t="n">
        <x:v>1500</x:v>
      </x:c>
      <x:c r="P93" s="57" t="n">
        <x:v>77</x:v>
      </x:c>
      <x:c r="Q93" s="55" t="n">
        <x:v>0.06493506493506493</x:v>
      </x:c>
      <x:c r="R93" s="54" t="str">
        <x:v>ml/artifacts/model-binary-xgboost-behavior/metrics.json</x:v>
      </x:c>
    </x:row>
    <x:row r="94">
      <x:c r="A94" s="54" t="str">
        <x:v>Binary Low/High</x:v>
      </x:c>
      <x:c r="B94" s="54" t="str">
        <x:v>Combined-feature XGBoost</x:v>
      </x:c>
      <x:c r="C94" s="54" t="str">
        <x:v>XGBoost</x:v>
      </x:c>
      <x:c r="D94" s="54" t="str">
        <x:v>364 blendshape + 84 behaviour statistics</x:v>
      </x:c>
      <x:c r="E94" s="54" t="n">
        <x:v>42</x:v>
      </x:c>
      <x:c r="F94" s="54" t="str">
        <x:v>Boredom</x:v>
      </x:c>
      <x:c r="G94" s="55" t="n">
        <x:v>0.5741361836051583</x:v>
      </x:c>
      <x:c r="H94" s="55" t="n">
        <x:v>0.5748577684452341</x:v>
      </x:c>
      <x:c r="I94" s="55" t="n">
        <x:v>0.6918199112238428</x:v>
      </x:c>
      <x:c r="J94" s="56" t="n">
        <x:v>0.30818008877615727</x:v>
      </x:c>
      <x:c r="K94" s="56" t="n">
        <x:v>0.1483196909858272</x:v>
      </x:c>
      <x:c r="L94" s="55" t="n">
        <x:v>0.34564643799472294</x:v>
      </x:c>
      <x:c r="M94" s="55" t="n">
        <x:v>0.35501355013550134</x:v>
      </x:c>
      <x:c r="N94" s="55" t="n">
        <x:v>0.7947019867549668</x:v>
      </x:c>
      <x:c r="O94" s="57" t="n">
        <x:v>1208</x:v>
      </x:c>
      <x:c r="P94" s="57" t="n">
        <x:v>369</x:v>
      </x:c>
      <x:c r="Q94" s="55" t="n">
        <x:v>0.35501355013550134</x:v>
      </x:c>
      <x:c r="R94" s="54" t="str">
        <x:v>ml/artifacts/model-binary-xgboost-behavior-seed42/metrics.json</x:v>
      </x:c>
    </x:row>
    <x:row r="95">
      <x:c r="A95" s="54" t="str">
        <x:v>Binary Low/High</x:v>
      </x:c>
      <x:c r="B95" s="54" t="str">
        <x:v>Combined-feature XGBoost</x:v>
      </x:c>
      <x:c r="C95" s="54" t="str">
        <x:v>XGBoost</x:v>
      </x:c>
      <x:c r="D95" s="54" t="str">
        <x:v>364 blendshape + 84 behaviour statistics</x:v>
      </x:c>
      <x:c r="E95" s="54" t="n">
        <x:v>42</x:v>
      </x:c>
      <x:c r="F95" s="54" t="str">
        <x:v>Engagement</x:v>
      </x:c>
      <x:c r="G95" s="55" t="n">
        <x:v>0.6219436438816882</x:v>
      </x:c>
      <x:c r="H95" s="55" t="n">
        <x:v>0.6429725099926584</x:v>
      </x:c>
      <x:c r="I95" s="55" t="n">
        <x:v>0.9131261889663919</x:v>
      </x:c>
      <x:c r="J95" s="56" t="n">
        <x:v>0.08687381103360811</x:v>
      </x:c>
      <x:c r="K95" s="56" t="n">
        <x:v>0.24499837501790966</x:v>
      </x:c>
      <x:c r="L95" s="55" t="n">
        <x:v>0.9631650750341064</x:v>
      </x:c>
      <x:c r="M95" s="55" t="n">
        <x:v>0.9444816053511705</x:v>
      </x:c>
      <x:c r="N95" s="55" t="n">
        <x:v>0.34146341463414637</x:v>
      </x:c>
      <x:c r="O95" s="57" t="n">
        <x:v>82</x:v>
      </x:c>
      <x:c r="P95" s="57" t="n">
        <x:v>1495</x:v>
      </x:c>
      <x:c r="Q95" s="55" t="n">
        <x:v>0.34146341463414637</x:v>
      </x:c>
      <x:c r="R95" s="54" t="str">
        <x:v>ml/artifacts/model-binary-xgboost-behavior-seed42/metrics.json</x:v>
      </x:c>
    </x:row>
    <x:row r="96">
      <x:c r="A96" s="54" t="str">
        <x:v>Binary Low/High</x:v>
      </x:c>
      <x:c r="B96" s="54" t="str">
        <x:v>Combined-feature XGBoost</x:v>
      </x:c>
      <x:c r="C96" s="54" t="str">
        <x:v>XGBoost</x:v>
      </x:c>
      <x:c r="D96" s="54" t="str">
        <x:v>364 blendshape + 84 behaviour statistics</x:v>
      </x:c>
      <x:c r="E96" s="54" t="n">
        <x:v>42</x:v>
      </x:c>
      <x:c r="F96" s="54" t="str">
        <x:v>Confusion</x:v>
      </x:c>
      <x:c r="G96" s="55" t="n">
        <x:v>0.541993166042384</x:v>
      </x:c>
      <x:c r="H96" s="55" t="n">
        <x:v>0.5696578083262065</x:v>
      </x:c>
      <x:c r="I96" s="55" t="n">
        <x:v>0.8027901077996196</x:v>
      </x:c>
      <x:c r="J96" s="56" t="n">
        <x:v>0.19720989220038046</x:v>
      </x:c>
      <x:c r="K96" s="56" t="n">
        <x:v>0.09716011906624678</x:v>
      </x:c>
      <x:c r="L96" s="55" t="n">
        <x:v>0.1484375</x:v>
      </x:c>
      <x:c r="M96" s="55" t="n">
        <x:v>0.2900763358778626</x:v>
      </x:c>
      <x:c r="N96" s="55" t="n">
        <x:v>0.8492392807745505</x:v>
      </x:c>
      <x:c r="O96" s="57" t="n">
        <x:v>1446</x:v>
      </x:c>
      <x:c r="P96" s="57" t="n">
        <x:v>131</x:v>
      </x:c>
      <x:c r="Q96" s="55" t="n">
        <x:v>0.2900763358778626</x:v>
      </x:c>
      <x:c r="R96" s="54" t="str">
        <x:v>ml/artifacts/model-binary-xgboost-behavior-seed42/metrics.json</x:v>
      </x:c>
    </x:row>
    <x:row r="97">
      <x:c r="A97" s="54" t="str">
        <x:v>Binary Low/High</x:v>
      </x:c>
      <x:c r="B97" s="54" t="str">
        <x:v>Combined-feature XGBoost</x:v>
      </x:c>
      <x:c r="C97" s="54" t="str">
        <x:v>XGBoost</x:v>
      </x:c>
      <x:c r="D97" s="54" t="str">
        <x:v>364 blendshape + 84 behaviour statistics</x:v>
      </x:c>
      <x:c r="E97" s="54" t="n">
        <x:v>42</x:v>
      </x:c>
      <x:c r="F97" s="54" t="str">
        <x:v>Frustration</x:v>
      </x:c>
      <x:c r="G97" s="55" t="n">
        <x:v>0.5226279947637367</x:v>
      </x:c>
      <x:c r="H97" s="55" t="n">
        <x:v>0.5246147186147186</x:v>
      </x:c>
      <x:c r="I97" s="55" t="n">
        <x:v>0.9042485732403297</x:v>
      </x:c>
      <x:c r="J97" s="56" t="n">
        <x:v>0.09575142675967026</x:v>
      </x:c>
      <x:c r="K97" s="56" t="n">
        <x:v>0.04557934099936267</x:v>
      </x:c>
      <x:c r="L97" s="55" t="n">
        <x:v>0.08888888888888889</x:v>
      </x:c>
      <x:c r="M97" s="55" t="n">
        <x:v>0.1038961038961039</x:v>
      </x:c>
      <x:c r="N97" s="55" t="n">
        <x:v>0.9453333333333334</x:v>
      </x:c>
      <x:c r="O97" s="57" t="n">
        <x:v>1500</x:v>
      </x:c>
      <x:c r="P97" s="57" t="n">
        <x:v>77</x:v>
      </x:c>
      <x:c r="Q97" s="55" t="n">
        <x:v>0.1038961038961039</x:v>
      </x:c>
      <x:c r="R97" s="54" t="str">
        <x:v>ml/artifacts/model-binary-xgboost-behavior-seed42/metrics.json</x:v>
      </x:c>
    </x:row>
    <x:row r="98">
      <x:c r="A98" s="54" t="str">
        <x:v>Binary Low/High</x:v>
      </x:c>
      <x:c r="B98" s="54" t="str">
        <x:v>Logistic Regression</x:v>
      </x:c>
      <x:c r="C98" s="54" t="str">
        <x:v>Logistic Regression</x:v>
      </x:c>
      <x:c r="D98" s="54" t="str">
        <x:v>364 blendshape + 84 behaviour statistics</x:v>
      </x:c>
      <x:c r="E98" s="54" t="n">
        <x:v>1729</x:v>
      </x:c>
      <x:c r="F98" s="54" t="str">
        <x:v>Boredom</x:v>
      </x:c>
      <x:c r="G98" s="55" t="n">
        <x:v>0.5622443122165209</x:v>
      </x:c>
      <x:c r="H98" s="55" t="n">
        <x:v>0.5588107288357652</x:v>
      </x:c>
      <x:c r="I98" s="55" t="n">
        <x:v>0.7292327203551047</x:v>
      </x:c>
      <x:c r="J98" s="56" t="n">
        <x:v>0.2707672796448954</x:v>
      </x:c>
      <x:c r="K98" s="56" t="n">
        <x:v>0.1347400991212212</x:v>
      </x:c>
      <x:c r="L98" s="55" t="n">
        <x:v>0.37606837606837606</x:v>
      </x:c>
      <x:c r="M98" s="55" t="n">
        <x:v>0.23848238482384823</x:v>
      </x:c>
      <x:c r="N98" s="55" t="n">
        <x:v>0.8791390728476821</x:v>
      </x:c>
      <x:c r="O98" s="57" t="n">
        <x:v>1208</x:v>
      </x:c>
      <x:c r="P98" s="57" t="n">
        <x:v>369</x:v>
      </x:c>
      <x:c r="Q98" s="55" t="n">
        <x:v>0.23848238482384823</x:v>
      </x:c>
      <x:c r="R98" s="54" t="str">
        <x:v>ml/artifacts/model-classical-logistic_regression-seed1729/metrics.json</x:v>
      </x:c>
    </x:row>
    <x:row r="99">
      <x:c r="A99" s="54" t="str">
        <x:v>Binary Low/High</x:v>
      </x:c>
      <x:c r="B99" s="54" t="str">
        <x:v>Logistic Regression</x:v>
      </x:c>
      <x:c r="C99" s="54" t="str">
        <x:v>Logistic Regression</x:v>
      </x:c>
      <x:c r="D99" s="54" t="str">
        <x:v>364 blendshape + 84 behaviour statistics</x:v>
      </x:c>
      <x:c r="E99" s="54" t="n">
        <x:v>1729</x:v>
      </x:c>
      <x:c r="F99" s="54" t="str">
        <x:v>Engagement</x:v>
      </x:c>
      <x:c r="G99" s="55" t="n">
        <x:v>0.6059197194485568</x:v>
      </x:c>
      <x:c r="H99" s="55" t="n">
        <x:v>0.6028876743616934</x:v>
      </x:c>
      <x:c r="I99" s="55" t="n">
        <x:v>0.9245402663284717</x:v>
      </x:c>
      <x:c r="J99" s="56" t="n">
        <x:v>0.07545973367152822</x:v>
      </x:c>
      <x:c r="K99" s="56" t="n">
        <x:v>0.21188081389244695</x:v>
      </x:c>
      <x:c r="L99" s="55" t="n">
        <x:v>0.9586666666666667</x:v>
      </x:c>
      <x:c r="M99" s="55" t="n">
        <x:v>0.9618729096989966</x:v>
      </x:c>
      <x:c r="N99" s="55" t="n">
        <x:v>0.24390243902439024</x:v>
      </x:c>
      <x:c r="O99" s="57" t="n">
        <x:v>82</x:v>
      </x:c>
      <x:c r="P99" s="57" t="n">
        <x:v>1495</x:v>
      </x:c>
      <x:c r="Q99" s="55" t="n">
        <x:v>0.24390243902439024</x:v>
      </x:c>
      <x:c r="R99" s="54" t="str">
        <x:v>ml/artifacts/model-classical-logistic_regression-seed1729/metrics.json</x:v>
      </x:c>
    </x:row>
    <x:row r="100">
      <x:c r="A100" s="54" t="str">
        <x:v>Binary Low/High</x:v>
      </x:c>
      <x:c r="B100" s="54" t="str">
        <x:v>Logistic Regression</x:v>
      </x:c>
      <x:c r="C100" s="54" t="str">
        <x:v>Logistic Regression</x:v>
      </x:c>
      <x:c r="D100" s="54" t="str">
        <x:v>364 blendshape + 84 behaviour statistics</x:v>
      </x:c>
      <x:c r="E100" s="54" t="n">
        <x:v>1729</x:v>
      </x:c>
      <x:c r="F100" s="54" t="str">
        <x:v>Confusion</x:v>
      </x:c>
      <x:c r="G100" s="55" t="n">
        <x:v>0.5682049691343841</x:v>
      </x:c>
      <x:c r="H100" s="55" t="n">
        <x:v>0.6025994319681565</x:v>
      </x:c>
      <x:c r="I100" s="55" t="n">
        <x:v>0.8186429930247305</x:v>
      </x:c>
      <x:c r="J100" s="56" t="n">
        <x:v>0.1813570069752695</x:v>
      </x:c>
      <x:c r="K100" s="56" t="n">
        <x:v>0.14702266804346764</x:v>
      </x:c>
      <x:c r="L100" s="55" t="n">
        <x:v>0.1836734693877551</x:v>
      </x:c>
      <x:c r="M100" s="55" t="n">
        <x:v>0.3435114503816794</x:v>
      </x:c>
      <x:c r="N100" s="55" t="n">
        <x:v>0.8616874135546335</x:v>
      </x:c>
      <x:c r="O100" s="57" t="n">
        <x:v>1446</x:v>
      </x:c>
      <x:c r="P100" s="57" t="n">
        <x:v>131</x:v>
      </x:c>
      <x:c r="Q100" s="55" t="n">
        <x:v>0.3435114503816794</x:v>
      </x:c>
      <x:c r="R100" s="54" t="str">
        <x:v>ml/artifacts/model-classical-logistic_regression-seed1729/metrics.json</x:v>
      </x:c>
    </x:row>
    <x:row r="101">
      <x:c r="A101" s="54" t="str">
        <x:v>Binary Low/High</x:v>
      </x:c>
      <x:c r="B101" s="54" t="str">
        <x:v>Logistic Regression</x:v>
      </x:c>
      <x:c r="C101" s="54" t="str">
        <x:v>Logistic Regression</x:v>
      </x:c>
      <x:c r="D101" s="54" t="str">
        <x:v>364 blendshape + 84 behaviour statistics</x:v>
      </x:c>
      <x:c r="E101" s="54" t="n">
        <x:v>1729</x:v>
      </x:c>
      <x:c r="F101" s="54" t="str">
        <x:v>Frustration</x:v>
      </x:c>
      <x:c r="G101" s="55" t="n">
        <x:v>0.4930042574700853</x:v>
      </x:c>
      <x:c r="H101" s="55" t="n">
        <x:v>0.49264069264069266</x:v>
      </x:c>
      <x:c r="I101" s="55" t="n">
        <x:v>0.8902980342422321</x:v>
      </x:c>
      <x:c r="J101" s="56" t="n">
        <x:v>0.10970196575776792</x:v>
      </x:c>
      <x:c r="K101" s="56" t="n">
        <x:v>-0.012619654741093056</x:v>
      </x:c>
      <x:c r="L101" s="55" t="n">
        <x:v>0.038461538461538464</x:v>
      </x:c>
      <x:c r="M101" s="55" t="n">
        <x:v>0.05194805194805195</x:v>
      </x:c>
      <x:c r="N101" s="55" t="n">
        <x:v>0.9333333333333333</x:v>
      </x:c>
      <x:c r="O101" s="57" t="n">
        <x:v>1500</x:v>
      </x:c>
      <x:c r="P101" s="57" t="n">
        <x:v>77</x:v>
      </x:c>
      <x:c r="Q101" s="55" t="n">
        <x:v>0.05194805194805195</x:v>
      </x:c>
      <x:c r="R101" s="54" t="str">
        <x:v>ml/artifacts/model-classical-logistic_regression-seed1729/metrics.json</x:v>
      </x:c>
    </x:row>
    <x:row r="102">
      <x:c r="A102" s="54" t="str">
        <x:v>Binary Low/High</x:v>
      </x:c>
      <x:c r="B102" s="54" t="str">
        <x:v>Linear SVM</x:v>
      </x:c>
      <x:c r="C102" s="54" t="str">
        <x:v>Linear SVM</x:v>
      </x:c>
      <x:c r="D102" s="54" t="str">
        <x:v>364 blendshape + 84 behaviour statistics</x:v>
      </x:c>
      <x:c r="E102" s="54" t="n">
        <x:v>1729</x:v>
      </x:c>
      <x:c r="F102" s="54" t="str">
        <x:v>Boredom</x:v>
      </x:c>
      <x:c r="G102" s="55" t="n">
        <x:v>0.5645869763472529</x:v>
      </x:c>
      <x:c r="H102" s="55" t="n">
        <x:v>0.5608062330623307</x:v>
      </x:c>
      <x:c r="I102" s="55" t="n">
        <x:v>0.7279644895370958</x:v>
      </x:c>
      <x:c r="J102" s="56" t="n">
        <x:v>0.27203551046290425</x:v>
      </x:c>
      <x:c r="K102" s="56" t="n">
        <x:v>0.13812072345917137</x:v>
      </x:c>
      <x:c r="L102" s="55" t="n">
        <x:v>0.3760330578512397</x:v>
      </x:c>
      <x:c r="M102" s="55" t="n">
        <x:v>0.24661246612466126</x:v>
      </x:c>
      <x:c r="N102" s="55" t="n">
        <x:v>0.875</x:v>
      </x:c>
      <x:c r="O102" s="57" t="n">
        <x:v>1208</x:v>
      </x:c>
      <x:c r="P102" s="57" t="n">
        <x:v>369</x:v>
      </x:c>
      <x:c r="Q102" s="55" t="n">
        <x:v>0.24661246612466126</x:v>
      </x:c>
      <x:c r="R102" s="54" t="str">
        <x:v>ml/artifacts/model-classical-linear_svm-seed1729/metrics.json</x:v>
      </x:c>
    </x:row>
    <x:row r="103">
      <x:c r="A103" s="54" t="str">
        <x:v>Binary Low/High</x:v>
      </x:c>
      <x:c r="B103" s="54" t="str">
        <x:v>Linear SVM</x:v>
      </x:c>
      <x:c r="C103" s="54" t="str">
        <x:v>Linear SVM</x:v>
      </x:c>
      <x:c r="D103" s="54" t="str">
        <x:v>364 blendshape + 84 behaviour statistics</x:v>
      </x:c>
      <x:c r="E103" s="54" t="n">
        <x:v>1729</x:v>
      </x:c>
      <x:c r="F103" s="54" t="str">
        <x:v>Engagement</x:v>
      </x:c>
      <x:c r="G103" s="55" t="n">
        <x:v>0.5921885409726849</x:v>
      </x:c>
      <x:c r="H103" s="55" t="n">
        <x:v>0.5859327840770047</x:v>
      </x:c>
      <x:c r="I103" s="55" t="n">
        <x:v>0.9251743817374762</x:v>
      </x:c>
      <x:c r="J103" s="56" t="n">
        <x:v>0.07482561826252378</x:v>
      </x:c>
      <x:c r="K103" s="56" t="n">
        <x:v>0.18463439427930461</x:v>
      </x:c>
      <x:c r="L103" s="55" t="n">
        <x:v>0.9568679495686795</x:v>
      </x:c>
      <x:c r="M103" s="55" t="n">
        <x:v>0.9645484949832775</x:v>
      </x:c>
      <x:c r="N103" s="55" t="n">
        <x:v>0.2073170731707317</x:v>
      </x:c>
      <x:c r="O103" s="57" t="n">
        <x:v>82</x:v>
      </x:c>
      <x:c r="P103" s="57" t="n">
        <x:v>1495</x:v>
      </x:c>
      <x:c r="Q103" s="55" t="n">
        <x:v>0.2073170731707317</x:v>
      </x:c>
      <x:c r="R103" s="54" t="str">
        <x:v>ml/artifacts/model-classical-linear_svm-seed1729/metrics.json</x:v>
      </x:c>
    </x:row>
    <x:row r="104">
      <x:c r="A104" s="54" t="str">
        <x:v>Binary Low/High</x:v>
      </x:c>
      <x:c r="B104" s="54" t="str">
        <x:v>Linear SVM</x:v>
      </x:c>
      <x:c r="C104" s="54" t="str">
        <x:v>Linear SVM</x:v>
      </x:c>
      <x:c r="D104" s="54" t="str">
        <x:v>364 blendshape + 84 behaviour statistics</x:v>
      </x:c>
      <x:c r="E104" s="54" t="n">
        <x:v>1729</x:v>
      </x:c>
      <x:c r="F104" s="54" t="str">
        <x:v>Confusion</x:v>
      </x:c>
      <x:c r="G104" s="55" t="n">
        <x:v>0.5336574895139471</x:v>
      </x:c>
      <x:c r="H104" s="55" t="n">
        <x:v>0.5857089311921279</x:v>
      </x:c>
      <x:c r="I104" s="55" t="n">
        <x:v>0.7622067216233355</x:v>
      </x:c>
      <x:c r="J104" s="56" t="n">
        <x:v>0.23779327837666456</x:v>
      </x:c>
      <x:c r="K104" s="56" t="n">
        <x:v>0.09894913585965315</x:v>
      </x:c>
      <x:c r="L104" s="55" t="n">
        <x:v>0.14327485380116958</x:v>
      </x:c>
      <x:c r="M104" s="55" t="n">
        <x:v>0.37404580152671757</x:v>
      </x:c>
      <x:c r="N104" s="55" t="n">
        <x:v>0.7973720608575381</x:v>
      </x:c>
      <x:c r="O104" s="57" t="n">
        <x:v>1446</x:v>
      </x:c>
      <x:c r="P104" s="57" t="n">
        <x:v>131</x:v>
      </x:c>
      <x:c r="Q104" s="55" t="n">
        <x:v>0.37404580152671757</x:v>
      </x:c>
      <x:c r="R104" s="54" t="str">
        <x:v>ml/artifacts/model-classical-linear_svm-seed1729/metrics.json</x:v>
      </x:c>
    </x:row>
    <x:row r="105">
      <x:c r="A105" s="54" t="str">
        <x:v>Binary Low/High</x:v>
      </x:c>
      <x:c r="B105" s="54" t="str">
        <x:v>Linear SVM</x:v>
      </x:c>
      <x:c r="C105" s="54" t="str">
        <x:v>Linear SVM</x:v>
      </x:c>
      <x:c r="D105" s="54" t="str">
        <x:v>364 blendshape + 84 behaviour statistics</x:v>
      </x:c>
      <x:c r="E105" s="54" t="n">
        <x:v>1729</x:v>
      </x:c>
      <x:c r="F105" s="54" t="str">
        <x:v>Frustration</x:v>
      </x:c>
      <x:c r="G105" s="55" t="n">
        <x:v>0.5047216011923773</x:v>
      </x:c>
      <x:c r="H105" s="55" t="n">
        <x:v>0.5048138528138528</x:v>
      </x:c>
      <x:c r="I105" s="55" t="n">
        <x:v>0.9251743817374762</x:v>
      </x:c>
      <x:c r="J105" s="56" t="n">
        <x:v>0.07482561826252378</x:v>
      </x:c>
      <x:c r="K105" s="56" t="n">
        <x:v>0.01181031278211453</x:v>
      </x:c>
      <x:c r="L105" s="55" t="n">
        <x:v>0.06382978723404255</x:v>
      </x:c>
      <x:c r="M105" s="55" t="n">
        <x:v>0.03896103896103896</x:v>
      </x:c>
      <x:c r="N105" s="55" t="n">
        <x:v>0.9706666666666667</x:v>
      </x:c>
      <x:c r="O105" s="57" t="n">
        <x:v>1500</x:v>
      </x:c>
      <x:c r="P105" s="57" t="n">
        <x:v>77</x:v>
      </x:c>
      <x:c r="Q105" s="55" t="n">
        <x:v>0.03896103896103896</x:v>
      </x:c>
      <x:c r="R105" s="54" t="str">
        <x:v>ml/artifacts/model-classical-linear_svm-seed1729/metrics.json</x:v>
      </x:c>
    </x:row>
    <x:row r="106">
      <x:c r="A106" s="54" t="str">
        <x:v>Binary Low/High</x:v>
      </x:c>
      <x:c r="B106" s="54" t="str">
        <x:v>Random Forest</x:v>
      </x:c>
      <x:c r="C106" s="54" t="str">
        <x:v>Random Forest</x:v>
      </x:c>
      <x:c r="D106" s="54" t="str">
        <x:v>364 blendshape + 84 behaviour statistics</x:v>
      </x:c>
      <x:c r="E106" s="54" t="n">
        <x:v>1729</x:v>
      </x:c>
      <x:c r="F106" s="54" t="str">
        <x:v>Boredom</x:v>
      </x:c>
      <x:c r="G106" s="55" t="n">
        <x:v>0.5566766110203727</x:v>
      </x:c>
      <x:c r="H106" s="55" t="n">
        <x:v>0.5594299072129794</x:v>
      </x:c>
      <x:c r="I106" s="55" t="n">
        <x:v>0.6696258719086874</x:v>
      </x:c>
      <x:c r="J106" s="56" t="n">
        <x:v>0.3303741280913126</x:v>
      </x:c>
      <x:c r="K106" s="56" t="n">
        <x:v>0.11423692378347561</x:v>
      </x:c>
      <x:c r="L106" s="55" t="n">
        <x:v>0.3155339805825243</x:v>
      </x:c>
      <x:c r="M106" s="55" t="n">
        <x:v>0.3523035230352303</x:v>
      </x:c>
      <x:c r="N106" s="55" t="n">
        <x:v>0.7665562913907285</x:v>
      </x:c>
      <x:c r="O106" s="57" t="n">
        <x:v>1208</x:v>
      </x:c>
      <x:c r="P106" s="57" t="n">
        <x:v>369</x:v>
      </x:c>
      <x:c r="Q106" s="55" t="n">
        <x:v>0.3523035230352303</x:v>
      </x:c>
      <x:c r="R106" s="54" t="str">
        <x:v>ml/artifacts/model-classical-random_forest-seed1729/metrics.json</x:v>
      </x:c>
    </x:row>
    <x:row r="107">
      <x:c r="A107" s="54" t="str">
        <x:v>Binary Low/High</x:v>
      </x:c>
      <x:c r="B107" s="54" t="str">
        <x:v>Random Forest</x:v>
      </x:c>
      <x:c r="C107" s="54" t="str">
        <x:v>Random Forest</x:v>
      </x:c>
      <x:c r="D107" s="54" t="str">
        <x:v>364 blendshape + 84 behaviour statistics</x:v>
      </x:c>
      <x:c r="E107" s="54" t="n">
        <x:v>1729</x:v>
      </x:c>
      <x:c r="F107" s="54" t="str">
        <x:v>Engagement</x:v>
      </x:c>
      <x:c r="G107" s="55" t="n">
        <x:v>0.6234616035591662</x:v>
      </x:c>
      <x:c r="H107" s="55" t="n">
        <x:v>0.6705277755118688</x:v>
      </x:c>
      <x:c r="I107" s="55" t="n">
        <x:v>0.8998097653772986</x:v>
      </x:c>
      <x:c r="J107" s="56" t="n">
        <x:v>0.10019023462270134</x:v>
      </x:c>
      <x:c r="K107" s="56" t="n">
        <x:v>0.2512725895921103</x:v>
      </x:c>
      <x:c r="L107" s="55" t="n">
        <x:v>0.9665038381018841</x:v>
      </x:c>
      <x:c r="M107" s="55" t="n">
        <x:v>0.9264214046822743</x:v>
      </x:c>
      <x:c r="N107" s="55" t="n">
        <x:v>0.4146341463414634</x:v>
      </x:c>
      <x:c r="O107" s="57" t="n">
        <x:v>82</x:v>
      </x:c>
      <x:c r="P107" s="57" t="n">
        <x:v>1495</x:v>
      </x:c>
      <x:c r="Q107" s="55" t="n">
        <x:v>0.4146341463414634</x:v>
      </x:c>
      <x:c r="R107" s="54" t="str">
        <x:v>ml/artifacts/model-classical-random_forest-seed1729/metrics.json</x:v>
      </x:c>
    </x:row>
    <x:row r="108">
      <x:c r="A108" s="54" t="str">
        <x:v>Binary Low/High</x:v>
      </x:c>
      <x:c r="B108" s="54" t="str">
        <x:v>Random Forest</x:v>
      </x:c>
      <x:c r="C108" s="54" t="str">
        <x:v>Random Forest</x:v>
      </x:c>
      <x:c r="D108" s="54" t="str">
        <x:v>364 blendshape + 84 behaviour statistics</x:v>
      </x:c>
      <x:c r="E108" s="54" t="n">
        <x:v>1729</x:v>
      </x:c>
      <x:c r="F108" s="54" t="str">
        <x:v>Confusion</x:v>
      </x:c>
      <x:c r="G108" s="55" t="n">
        <x:v>0.5260205569541903</x:v>
      </x:c>
      <x:c r="H108" s="55" t="n">
        <x:v>0.5860943059558879</x:v>
      </x:c>
      <x:c r="I108" s="55" t="n">
        <x:v>0.7438173747622068</x:v>
      </x:c>
      <x:c r="J108" s="56" t="n">
        <x:v>0.2561826252377933</x:v>
      </x:c>
      <x:c r="K108" s="56" t="n">
        <x:v>0.09288067636564512</x:v>
      </x:c>
      <x:c r="L108" s="55" t="n">
        <x:v>0.13793103448275862</x:v>
      </x:c>
      <x:c r="M108" s="55" t="n">
        <x:v>0.3969465648854962</x:v>
      </x:c>
      <x:c r="N108" s="55" t="n">
        <x:v>0.7752420470262794</x:v>
      </x:c>
      <x:c r="O108" s="57" t="n">
        <x:v>1446</x:v>
      </x:c>
      <x:c r="P108" s="57" t="n">
        <x:v>131</x:v>
      </x:c>
      <x:c r="Q108" s="55" t="n">
        <x:v>0.3969465648854962</x:v>
      </x:c>
      <x:c r="R108" s="54" t="str">
        <x:v>ml/artifacts/model-classical-random_forest-seed1729/metrics.json</x:v>
      </x:c>
    </x:row>
    <x:row r="109">
      <x:c r="A109" s="54" t="str">
        <x:v>Binary Low/High</x:v>
      </x:c>
      <x:c r="B109" s="54" t="str">
        <x:v>Random Forest</x:v>
      </x:c>
      <x:c r="C109" s="54" t="str">
        <x:v>Random Forest</x:v>
      </x:c>
      <x:c r="D109" s="54" t="str">
        <x:v>364 blendshape + 84 behaviour statistics</x:v>
      </x:c>
      <x:c r="E109" s="54" t="n">
        <x:v>1729</x:v>
      </x:c>
      <x:c r="F109" s="54" t="str">
        <x:v>Frustration</x:v>
      </x:c>
      <x:c r="G109" s="55" t="n">
        <x:v>0.5445055126427676</x:v>
      </x:c>
      <x:c r="H109" s="55" t="n">
        <x:v>0.5467619047619048</x:v>
      </x:c>
      <x:c r="I109" s="55" t="n">
        <x:v>0.9112238427393786</x:v>
      </x:c>
      <x:c r="J109" s="56" t="n">
        <x:v>0.08877615726062144</x:v>
      </x:c>
      <x:c r="K109" s="56" t="n">
        <x:v>0.08913129579510193</x:v>
      </x:c>
      <x:c r="L109" s="55" t="n">
        <x:v>0.12941176470588237</x:v>
      </x:c>
      <x:c r="M109" s="55" t="n">
        <x:v>0.14285714285714285</x:v>
      </x:c>
      <x:c r="N109" s="55" t="n">
        <x:v>0.9506666666666667</x:v>
      </x:c>
      <x:c r="O109" s="57" t="n">
        <x:v>1500</x:v>
      </x:c>
      <x:c r="P109" s="57" t="n">
        <x:v>77</x:v>
      </x:c>
      <x:c r="Q109" s="55" t="n">
        <x:v>0.14285714285714285</x:v>
      </x:c>
      <x:c r="R109" s="54" t="str">
        <x:v>ml/artifacts/model-classical-random_forest-seed1729/metrics.json</x:v>
      </x:c>
    </x:row>
    <x:row r="110">
      <x:c r="A110" s="54" t="str">
        <x:v>Binary Low/High</x:v>
      </x:c>
      <x:c r="B110" s="54" t="str">
        <x:v>Random Forest</x:v>
      </x:c>
      <x:c r="C110" s="54" t="str">
        <x:v>Random Forest</x:v>
      </x:c>
      <x:c r="D110" s="54" t="str">
        <x:v>364 blendshape + 84 behaviour statistics</x:v>
      </x:c>
      <x:c r="E110" s="54" t="n">
        <x:v>42</x:v>
      </x:c>
      <x:c r="F110" s="54" t="str">
        <x:v>Boredom</x:v>
      </x:c>
      <x:c r="G110" s="55" t="n">
        <x:v>0.5538545471929988</x:v>
      </x:c>
      <x:c r="H110" s="55" t="n">
        <x:v>0.5537047506236652</x:v>
      </x:c>
      <x:c r="I110" s="55" t="n">
        <x:v>0.6810399492707673</x:v>
      </x:c>
      <x:c r="J110" s="56" t="n">
        <x:v>0.3189600507292327</x:v>
      </x:c>
      <x:c r="K110" s="56" t="n">
        <x:v>0.10771361111017363</x:v>
      </x:c>
      <x:c r="L110" s="55" t="n">
        <x:v>0.31693989071038253</x:v>
      </x:c>
      <x:c r="M110" s="55" t="n">
        <x:v>0.3143631436314363</x:v>
      </x:c>
      <x:c r="N110" s="55" t="n">
        <x:v>0.793046357615894</x:v>
      </x:c>
      <x:c r="O110" s="57" t="n">
        <x:v>1208</x:v>
      </x:c>
      <x:c r="P110" s="57" t="n">
        <x:v>369</x:v>
      </x:c>
      <x:c r="Q110" s="55" t="n">
        <x:v>0.3143631436314363</x:v>
      </x:c>
      <x:c r="R110" s="54" t="str">
        <x:v>ml/artifacts/model-classical-random_forest-seed42/metrics.json</x:v>
      </x:c>
    </x:row>
    <x:row r="111">
      <x:c r="A111" s="54" t="str">
        <x:v>Binary Low/High</x:v>
      </x:c>
      <x:c r="B111" s="54" t="str">
        <x:v>Random Forest</x:v>
      </x:c>
      <x:c r="C111" s="54" t="str">
        <x:v>Random Forest</x:v>
      </x:c>
      <x:c r="D111" s="54" t="str">
        <x:v>364 blendshape + 84 behaviour statistics</x:v>
      </x:c>
      <x:c r="E111" s="54" t="n">
        <x:v>42</x:v>
      </x:c>
      <x:c r="F111" s="54" t="str">
        <x:v>Engagement</x:v>
      </x:c>
      <x:c r="G111" s="55" t="n">
        <x:v>0.6168744877648987</x:v>
      </x:c>
      <x:c r="H111" s="55" t="n">
        <x:v>0.6678521902275879</x:v>
      </x:c>
      <x:c r="I111" s="55" t="n">
        <x:v>0.8947368421052632</x:v>
      </x:c>
      <x:c r="J111" s="56" t="n">
        <x:v>0.10526315789473684</x:v>
      </x:c>
      <x:c r="K111" s="56" t="n">
        <x:v>0.2392048591938155</x:v>
      </x:c>
      <x:c r="L111" s="55" t="n">
        <x:v>0.9663157894736842</x:v>
      </x:c>
      <x:c r="M111" s="55" t="n">
        <x:v>0.9210702341137124</x:v>
      </x:c>
      <x:c r="N111" s="55" t="n">
        <x:v>0.4146341463414634</x:v>
      </x:c>
      <x:c r="O111" s="57" t="n">
        <x:v>82</x:v>
      </x:c>
      <x:c r="P111" s="57" t="n">
        <x:v>1495</x:v>
      </x:c>
      <x:c r="Q111" s="55" t="n">
        <x:v>0.4146341463414634</x:v>
      </x:c>
      <x:c r="R111" s="54" t="str">
        <x:v>ml/artifacts/model-classical-random_forest-seed42/metrics.json</x:v>
      </x:c>
    </x:row>
    <x:row r="112">
      <x:c r="A112" s="54" t="str">
        <x:v>Binary Low/High</x:v>
      </x:c>
      <x:c r="B112" s="54" t="str">
        <x:v>Random Forest</x:v>
      </x:c>
      <x:c r="C112" s="54" t="str">
        <x:v>Random Forest</x:v>
      </x:c>
      <x:c r="D112" s="54" t="str">
        <x:v>364 blendshape + 84 behaviour statistics</x:v>
      </x:c>
      <x:c r="E112" s="54" t="n">
        <x:v>42</x:v>
      </x:c>
      <x:c r="F112" s="54" t="str">
        <x:v>Confusion</x:v>
      </x:c>
      <x:c r="G112" s="55" t="n">
        <x:v>0.5390110244519682</x:v>
      </x:c>
      <x:c r="H112" s="55" t="n">
        <x:v>0.5375951558920106</x:v>
      </x:c>
      <x:c r="I112" s="55" t="n">
        <x:v>0.8649334178820546</x:v>
      </x:c>
      <x:c r="J112" s="56" t="n">
        <x:v>0.13506658211794548</x:v>
      </x:c>
      <x:c r="K112" s="56" t="n">
        <x:v>0.07817512699410234</x:v>
      </x:c>
      <x:c r="L112" s="55" t="n">
        <x:v>0.15833333333333333</x:v>
      </x:c>
      <x:c r="M112" s="55" t="n">
        <x:v>0.1450381679389313</x:v>
      </x:c>
      <x:c r="N112" s="55" t="n">
        <x:v>0.9301521438450899</x:v>
      </x:c>
      <x:c r="O112" s="57" t="n">
        <x:v>1446</x:v>
      </x:c>
      <x:c r="P112" s="57" t="n">
        <x:v>131</x:v>
      </x:c>
      <x:c r="Q112" s="55" t="n">
        <x:v>0.1450381679389313</x:v>
      </x:c>
      <x:c r="R112" s="54" t="str">
        <x:v>ml/artifacts/model-classical-random_forest-seed42/metrics.json</x:v>
      </x:c>
    </x:row>
    <x:row r="113">
      <x:c r="A113" s="54" t="str">
        <x:v>Binary Low/High</x:v>
      </x:c>
      <x:c r="B113" s="54" t="str">
        <x:v>Random Forest</x:v>
      </x:c>
      <x:c r="C113" s="54" t="str">
        <x:v>Random Forest</x:v>
      </x:c>
      <x:c r="D113" s="54" t="str">
        <x:v>364 blendshape + 84 behaviour statistics</x:v>
      </x:c>
      <x:c r="E113" s="54" t="n">
        <x:v>42</x:v>
      </x:c>
      <x:c r="F113" s="54" t="str">
        <x:v>Frustration</x:v>
      </x:c>
      <x:c r="G113" s="55" t="n">
        <x:v>0.5443455245812401</x:v>
      </x:c>
      <x:c r="H113" s="55" t="n">
        <x:v>0.5638961038961039</x:v>
      </x:c>
      <x:c r="I113" s="55" t="n">
        <x:v>0.8852251109701966</x:v>
      </x:c>
      <x:c r="J113" s="56" t="n">
        <x:v>0.11477488902980343</x:v>
      </x:c>
      <x:c r="K113" s="56" t="n">
        <x:v>0.0937270802045993</x:v>
      </x:c>
      <x:c r="L113" s="55" t="n">
        <x:v>0.11764705882352941</x:v>
      </x:c>
      <x:c r="M113" s="55" t="n">
        <x:v>0.2077922077922078</x:v>
      </x:c>
      <x:c r="N113" s="55" t="n">
        <x:v>0.92</x:v>
      </x:c>
      <x:c r="O113" s="57" t="n">
        <x:v>1500</x:v>
      </x:c>
      <x:c r="P113" s="57" t="n">
        <x:v>77</x:v>
      </x:c>
      <x:c r="Q113" s="55" t="n">
        <x:v>0.2077922077922078</x:v>
      </x:c>
      <x:c r="R113" s="54" t="str">
        <x:v>ml/artifacts/model-classical-random_forest-seed42/metrics.json</x:v>
      </x:c>
    </x:row>
    <x:row r="114">
      <x:c r="A114" s="54" t="str">
        <x:v>Binary Low/High</x:v>
      </x:c>
      <x:c r="B114" s="54" t="str">
        <x:v>Extra Trees</x:v>
      </x:c>
      <x:c r="C114" s="54" t="str">
        <x:v>Extra Trees</x:v>
      </x:c>
      <x:c r="D114" s="54" t="str">
        <x:v>364 blendshape + 84 behaviour statistics</x:v>
      </x:c>
      <x:c r="E114" s="54" t="n">
        <x:v>1729</x:v>
      </x:c>
      <x:c r="F114" s="54" t="str">
        <x:v>Boredom</x:v>
      </x:c>
      <x:c r="G114" s="55" t="n">
        <x:v>0.5390419382351406</x:v>
      </x:c>
      <x:c r="H114" s="55" t="n">
        <x:v>0.5377407168111416</x:v>
      </x:c>
      <x:c r="I114" s="55" t="n">
        <x:v>0.6911857958148383</x:v>
      </x:c>
      <x:c r="J114" s="56" t="n">
        <x:v>0.3088142041851617</x:v>
      </x:c>
      <x:c r="K114" s="56" t="n">
        <x:v>0.08056114575638917</x:v>
      </x:c>
      <x:c r="L114" s="55" t="n">
        <x:v>0.304635761589404</x:v>
      </x:c>
      <x:c r="M114" s="55" t="n">
        <x:v>0.24932249322493225</x:v>
      </x:c>
      <x:c r="N114" s="55" t="n">
        <x:v>0.8261589403973509</x:v>
      </x:c>
      <x:c r="O114" s="57" t="n">
        <x:v>1208</x:v>
      </x:c>
      <x:c r="P114" s="57" t="n">
        <x:v>369</x:v>
      </x:c>
      <x:c r="Q114" s="55" t="n">
        <x:v>0.24932249322493225</x:v>
      </x:c>
      <x:c r="R114" s="54" t="str">
        <x:v>ml/artifacts/model-classical-extra_trees-seed1729/metrics.json</x:v>
      </x:c>
    </x:row>
    <x:row r="115">
      <x:c r="A115" s="54" t="str">
        <x:v>Binary Low/High</x:v>
      </x:c>
      <x:c r="B115" s="54" t="str">
        <x:v>Extra Trees</x:v>
      </x:c>
      <x:c r="C115" s="54" t="str">
        <x:v>Extra Trees</x:v>
      </x:c>
      <x:c r="D115" s="54" t="str">
        <x:v>364 blendshape + 84 behaviour statistics</x:v>
      </x:c>
      <x:c r="E115" s="54" t="n">
        <x:v>1729</x:v>
      </x:c>
      <x:c r="F115" s="54" t="str">
        <x:v>Engagement</x:v>
      </x:c>
      <x:c r="G115" s="55" t="n">
        <x:v>0.639700506553867</x:v>
      </x:c>
      <x:c r="H115" s="55" t="n">
        <x:v>0.6765478424015009</x:v>
      </x:c>
      <x:c r="I115" s="55" t="n">
        <x:v>0.9112238427393786</x:v>
      </x:c>
      <x:c r="J115" s="56" t="n">
        <x:v>0.08877615726062144</x:v>
      </x:c>
      <x:c r="K115" s="56" t="n">
        <x:v>0.2816705276035295</x:v>
      </x:c>
      <x:c r="L115" s="55" t="n">
        <x:v>0.9669193659545141</x:v>
      </x:c>
      <x:c r="M115" s="55" t="n">
        <x:v>0.9384615384615385</x:v>
      </x:c>
      <x:c r="N115" s="55" t="n">
        <x:v>0.4146341463414634</x:v>
      </x:c>
      <x:c r="O115" s="57" t="n">
        <x:v>82</x:v>
      </x:c>
      <x:c r="P115" s="57" t="n">
        <x:v>1495</x:v>
      </x:c>
      <x:c r="Q115" s="55" t="n">
        <x:v>0.4146341463414634</x:v>
      </x:c>
      <x:c r="R115" s="54" t="str">
        <x:v>ml/artifacts/model-classical-extra_trees-seed1729/metrics.json</x:v>
      </x:c>
    </x:row>
    <x:row r="116">
      <x:c r="A116" s="54" t="str">
        <x:v>Binary Low/High</x:v>
      </x:c>
      <x:c r="B116" s="54" t="str">
        <x:v>Extra Trees</x:v>
      </x:c>
      <x:c r="C116" s="54" t="str">
        <x:v>Extra Trees</x:v>
      </x:c>
      <x:c r="D116" s="54" t="str">
        <x:v>364 blendshape + 84 behaviour statistics</x:v>
      </x:c>
      <x:c r="E116" s="54" t="n">
        <x:v>1729</x:v>
      </x:c>
      <x:c r="F116" s="54" t="str">
        <x:v>Confusion</x:v>
      </x:c>
      <x:c r="G116" s="55" t="n">
        <x:v>0.5674758534644094</x:v>
      </x:c>
      <x:c r="H116" s="55" t="n">
        <x:v>0.6130388647809699</x:v>
      </x:c>
      <x:c r="I116" s="55" t="n">
        <x:v>0.8059606848446417</x:v>
      </x:c>
      <x:c r="J116" s="56" t="n">
        <x:v>0.19403931515535827</x:v>
      </x:c>
      <x:c r="K116" s="56" t="n">
        <x:v>0.15073599290405693</x:v>
      </x:c>
      <x:c r="L116" s="55" t="n">
        <x:v>0.18181818181818182</x:v>
      </x:c>
      <x:c r="M116" s="55" t="n">
        <x:v>0.3816793893129771</x:v>
      </x:c>
      <x:c r="N116" s="55" t="n">
        <x:v>0.8443983402489627</x:v>
      </x:c>
      <x:c r="O116" s="57" t="n">
        <x:v>1446</x:v>
      </x:c>
      <x:c r="P116" s="57" t="n">
        <x:v>131</x:v>
      </x:c>
      <x:c r="Q116" s="55" t="n">
        <x:v>0.3816793893129771</x:v>
      </x:c>
      <x:c r="R116" s="54" t="str">
        <x:v>ml/artifacts/model-classical-extra_trees-seed1729/metrics.json</x:v>
      </x:c>
    </x:row>
    <x:row r="117">
      <x:c r="A117" s="54" t="str">
        <x:v>Binary Low/High</x:v>
      </x:c>
      <x:c r="B117" s="54" t="str">
        <x:v>Extra Trees</x:v>
      </x:c>
      <x:c r="C117" s="54" t="str">
        <x:v>Extra Trees</x:v>
      </x:c>
      <x:c r="D117" s="54" t="str">
        <x:v>364 blendshape + 84 behaviour statistics</x:v>
      </x:c>
      <x:c r="E117" s="54" t="n">
        <x:v>1729</x:v>
      </x:c>
      <x:c r="F117" s="54" t="str">
        <x:v>Frustration</x:v>
      </x:c>
      <x:c r="G117" s="55" t="n">
        <x:v>0.5415697674418605</x:v>
      </x:c>
      <x:c r="H117" s="55" t="n">
        <x:v>0.5391082251082251</x:v>
      </x:c>
      <x:c r="I117" s="55" t="n">
        <x:v>0.9201014584654407</x:v>
      </x:c>
      <x:c r="J117" s="56" t="n">
        <x:v>0.07989854153455929</x:v>
      </x:c>
      <x:c r="K117" s="56" t="n">
        <x:v>0.08335101720717808</x:v>
      </x:c>
      <x:c r="L117" s="55" t="n">
        <x:v>0.13432835820895522</x:v>
      </x:c>
      <x:c r="M117" s="55" t="n">
        <x:v>0.11688311688311688</x:v>
      </x:c>
      <x:c r="N117" s="55" t="n">
        <x:v>0.9613333333333334</x:v>
      </x:c>
      <x:c r="O117" s="57" t="n">
        <x:v>1500</x:v>
      </x:c>
      <x:c r="P117" s="57" t="n">
        <x:v>77</x:v>
      </x:c>
      <x:c r="Q117" s="55" t="n">
        <x:v>0.11688311688311688</x:v>
      </x:c>
      <x:c r="R117" s="54" t="str">
        <x:v>ml/artifacts/model-classical-extra_trees-seed1729/metrics.json</x:v>
      </x:c>
    </x:row>
    <x:row r="118">
      <x:c r="A118" s="54" t="str">
        <x:v>Binary Low/High</x:v>
      </x:c>
      <x:c r="B118" s="54" t="str">
        <x:v>Extra Trees</x:v>
      </x:c>
      <x:c r="C118" s="54" t="str">
        <x:v>Extra Trees</x:v>
      </x:c>
      <x:c r="D118" s="54" t="str">
        <x:v>364 blendshape + 84 behaviour statistics</x:v>
      </x:c>
      <x:c r="E118" s="54" t="n">
        <x:v>42</x:v>
      </x:c>
      <x:c r="F118" s="54" t="str">
        <x:v>Boredom</x:v>
      </x:c>
      <x:c r="G118" s="55" t="n">
        <x:v>0.5354154236276849</x:v>
      </x:c>
      <x:c r="H118" s="55" t="n">
        <x:v>0.5346515551248228</x:v>
      </x:c>
      <x:c r="I118" s="55" t="n">
        <x:v>0.699429296131896</x:v>
      </x:c>
      <x:c r="J118" s="56" t="n">
        <x:v>0.30057070386810397</x:v>
      </x:c>
      <x:c r="K118" s="56" t="n">
        <x:v>0.07634421623117782</x:v>
      </x:c>
      <x:c r="L118" s="55" t="n">
        <x:v>0.3062730627306273</x:v>
      </x:c>
      <x:c r="M118" s="55" t="n">
        <x:v>0.22493224932249323</x:v>
      </x:c>
      <x:c r="N118" s="55" t="n">
        <x:v>0.8443708609271523</x:v>
      </x:c>
      <x:c r="O118" s="57" t="n">
        <x:v>1208</x:v>
      </x:c>
      <x:c r="P118" s="57" t="n">
        <x:v>369</x:v>
      </x:c>
      <x:c r="Q118" s="55" t="n">
        <x:v>0.22493224932249323</x:v>
      </x:c>
      <x:c r="R118" s="54" t="str">
        <x:v>ml/artifacts/model-classical-extra_trees-seed42/metrics.json</x:v>
      </x:c>
    </x:row>
    <x:row r="119">
      <x:c r="A119" s="54" t="str">
        <x:v>Binary Low/High</x:v>
      </x:c>
      <x:c r="B119" s="54" t="str">
        <x:v>Extra Trees</x:v>
      </x:c>
      <x:c r="C119" s="54" t="str">
        <x:v>Extra Trees</x:v>
      </x:c>
      <x:c r="D119" s="54" t="str">
        <x:v>364 blendshape + 84 behaviour statistics</x:v>
      </x:c>
      <x:c r="E119" s="54" t="n">
        <x:v>42</x:v>
      </x:c>
      <x:c r="F119" s="54" t="str">
        <x:v>Engagement</x:v>
      </x:c>
      <x:c r="G119" s="55" t="n">
        <x:v>0.6460768234786362</x:v>
      </x:c>
      <x:c r="H119" s="55" t="n">
        <x:v>0.6554245860184355</x:v>
      </x:c>
      <x:c r="I119" s="55" t="n">
        <x:v>0.9258084971464806</x:v>
      </x:c>
      <x:c r="J119" s="56" t="n">
        <x:v>0.07419150285351934</x:v>
      </x:c>
      <x:c r="K119" s="56" t="n">
        <x:v>0.2923179006071578</x:v>
      </x:c>
      <x:c r="L119" s="55" t="n">
        <x:v>0.9642857142857143</x:v>
      </x:c>
      <x:c r="M119" s="55" t="n">
        <x:v>0.9571906354515051</x:v>
      </x:c>
      <x:c r="N119" s="55" t="n">
        <x:v>0.35365853658536583</x:v>
      </x:c>
      <x:c r="O119" s="57" t="n">
        <x:v>82</x:v>
      </x:c>
      <x:c r="P119" s="57" t="n">
        <x:v>1495</x:v>
      </x:c>
      <x:c r="Q119" s="55" t="n">
        <x:v>0.35365853658536583</x:v>
      </x:c>
      <x:c r="R119" s="54" t="str">
        <x:v>ml/artifacts/model-classical-extra_trees-seed42/metrics.json</x:v>
      </x:c>
    </x:row>
    <x:row r="120">
      <x:c r="A120" s="54" t="str">
        <x:v>Binary Low/High</x:v>
      </x:c>
      <x:c r="B120" s="54" t="str">
        <x:v>Extra Trees</x:v>
      </x:c>
      <x:c r="C120" s="54" t="str">
        <x:v>Extra Trees</x:v>
      </x:c>
      <x:c r="D120" s="54" t="str">
        <x:v>364 blendshape + 84 behaviour statistics</x:v>
      </x:c>
      <x:c r="E120" s="54" t="n">
        <x:v>42</x:v>
      </x:c>
      <x:c r="F120" s="54" t="str">
        <x:v>Confusion</x:v>
      </x:c>
      <x:c r="G120" s="55" t="n">
        <x:v>0.5453524207177652</x:v>
      </x:c>
      <x:c r="H120" s="55" t="n">
        <x:v>0.5483803701709374</x:v>
      </x:c>
      <x:c r="I120" s="55" t="n">
        <x:v>0.8528852251109702</x:v>
      </x:c>
      <x:c r="J120" s="56" t="n">
        <x:v>0.1471147748890298</x:v>
      </x:c>
      <x:c r="K120" s="56" t="n">
        <x:v>0.0910707986147341</x:v>
      </x:c>
      <x:c r="L120" s="55" t="n">
        <x:v>0.1610738255033557</x:v>
      </x:c>
      <x:c r="M120" s="55" t="n">
        <x:v>0.183206106870229</x:v>
      </x:c>
      <x:c r="N120" s="55" t="n">
        <x:v>0.9135546334716459</x:v>
      </x:c>
      <x:c r="O120" s="57" t="n">
        <x:v>1446</x:v>
      </x:c>
      <x:c r="P120" s="57" t="n">
        <x:v>131</x:v>
      </x:c>
      <x:c r="Q120" s="55" t="n">
        <x:v>0.183206106870229</x:v>
      </x:c>
      <x:c r="R120" s="54" t="str">
        <x:v>ml/artifacts/model-classical-extra_trees-seed42/metrics.json</x:v>
      </x:c>
    </x:row>
    <x:row r="121">
      <x:c r="A121" s="54" t="str">
        <x:v>Binary Low/High</x:v>
      </x:c>
      <x:c r="B121" s="54" t="str">
        <x:v>Extra Trees</x:v>
      </x:c>
      <x:c r="C121" s="54" t="str">
        <x:v>Extra Trees</x:v>
      </x:c>
      <x:c r="D121" s="54" t="str">
        <x:v>364 blendshape + 84 behaviour statistics</x:v>
      </x:c>
      <x:c r="E121" s="54" t="n">
        <x:v>42</x:v>
      </x:c>
      <x:c r="F121" s="54" t="str">
        <x:v>Frustration</x:v>
      </x:c>
      <x:c r="G121" s="55" t="n">
        <x:v>0.522589666705109</x:v>
      </x:c>
      <x:c r="H121" s="55" t="n">
        <x:v>0.5206277056277057</x:v>
      </x:c>
      <x:c r="I121" s="55" t="n">
        <x:v>0.9201014584654407</x:v>
      </x:c>
      <x:c r="J121" s="56" t="n">
        <x:v>0.07989854153455929</x:v>
      </x:c>
      <x:c r="K121" s="56" t="n">
        <x:v>0.04576626070920897</x:v>
      </x:c>
      <x:c r="L121" s="55" t="n">
        <x:v>0.09836065573770492</x:v>
      </x:c>
      <x:c r="M121" s="55" t="n">
        <x:v>0.07792207792207792</x:v>
      </x:c>
      <x:c r="N121" s="55" t="n">
        <x:v>0.9633333333333334</x:v>
      </x:c>
      <x:c r="O121" s="57" t="n">
        <x:v>1500</x:v>
      </x:c>
      <x:c r="P121" s="57" t="n">
        <x:v>77</x:v>
      </x:c>
      <x:c r="Q121" s="55" t="n">
        <x:v>0.07792207792207792</x:v>
      </x:c>
      <x:c r="R121" s="54" t="str">
        <x:v>ml/artifacts/model-classical-extra_trees-seed42/metrics.json</x:v>
      </x:c>
    </x:row>
  </x:sheetData>
  <x:pageMargins left="0.7" right="0.7" top="0.75" bottom="0.75" header="0.3" footer="0.3"/>
  <x:tableParts count="1">
    <x:tablePart xmlns:r="http://schemas.openxmlformats.org/officeDocument/2006/relationships" r:id="R48c9490dbc9d4b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8" hidden="0" customWidth="1"/>
    <x:col min="10" max="10" width="52" hidden="0" customWidth="1"/>
  </x:cols>
  <x:sheetData>
    <x:row r="1" ht="30" customHeight="1">
      <x:c r="A1" s="60" t="str">
        <x:v>DAiSEE Paper Table 3 vs OELM Four-Label Accuracy</x:v>
      </x:c>
      <x:c r="B1" s="60"/>
      <x:c r="C1" s="60"/>
      <x:c r="D1" s="60"/>
      <x:c r="E1" s="60"/>
      <x:c r="F1" s="60"/>
      <x:c r="G1" s="60"/>
      <x:c r="H1" s="60"/>
      <x:c r="I1" s="60"/>
      <x:c r="J1" s="60"/>
    </x:row>
    <x:row r="2" ht="32" customHeight="1">
      <x:c r="A2" s="7" t="str">
        <x:v>Indicative comparison only: the paper reports RGB video Top-1 accuracy averaged over three runs; OELM uses participant-independent 5 FPS blendshape/behaviour inputs and available serious-run means.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2" customHeight="1">
      <x:c r="A3" s="15" t="str">
        <x:v>Origin</x:v>
      </x:c>
      <x:c r="B3" s="16" t="str">
        <x:v>Model</x:v>
      </x:c>
      <x:c r="C3" s="16" t="str">
        <x:v>Runs</x:v>
      </x:c>
      <x:c r="D3" s="16" t="str">
        <x:v>Boredom</x:v>
      </x:c>
      <x:c r="E3" s="16" t="str">
        <x:v>Engagement</x:v>
      </x:c>
      <x:c r="F3" s="16" t="str">
        <x:v>Confusion</x:v>
      </x:c>
      <x:c r="G3" s="16" t="str">
        <x:v>Frustration</x:v>
      </x:c>
      <x:c r="H3" s="16" t="str">
        <x:v>Mean accuracy</x:v>
      </x:c>
      <x:c r="I3" s="16" t="str">
        <x:v>Inputs / protocol</x:v>
      </x:c>
      <x:c r="J3" s="17" t="str">
        <x:v>Interpretation</x:v>
      </x:c>
    </x:row>
    <x:row r="4">
      <x:c r="A4" s="67" t="str">
        <x:v>DAiSEE paper Table 3</x:v>
      </x:c>
      <x:c r="B4" s="67" t="str">
        <x:v>InceptionNet Frame Level</x:v>
      </x:c>
      <x:c r="C4" s="67" t="n">
        <x:v>3</x:v>
      </x:c>
      <x:c r="D4" s="68" t="n">
        <x:v>0.365</x:v>
      </x:c>
      <x:c r="E4" s="68" t="n">
        <x:v>0.471</x:v>
      </x:c>
      <x:c r="F4" s="68" t="n">
        <x:v>0.703</x:v>
      </x:c>
      <x:c r="G4" s="68" t="n">
        <x:v>0.783</x:v>
      </x:c>
      <x:c r="H4" s="68" t="n">
        <x:f>AVERAGE(D4:G4)</x:f>
        <x:v>0.5805</x:v>
      </x:c>
      <x:c r="I4" s="67" t="str">
        <x:v>RGB video; paper protocol</x:v>
      </x:c>
      <x:c r="J4" s="67" t="str">
        <x:v>Top-1 accuracy averaged over three runs (values supplied by user)</x:v>
      </x:c>
    </x:row>
    <x:row r="5">
      <x:c r="A5" s="69" t="str">
        <x:v>DAiSEE paper Table 3</x:v>
      </x:c>
      <x:c r="B5" s="69" t="str">
        <x:v>InceptionNet Video Level</x:v>
      </x:c>
      <x:c r="C5" s="69" t="n">
        <x:v>3</x:v>
      </x:c>
      <x:c r="D5" s="70" t="n">
        <x:v>0.323</x:v>
      </x:c>
      <x:c r="E5" s="70" t="n">
        <x:v>0.464</x:v>
      </x:c>
      <x:c r="F5" s="70" t="n">
        <x:v>0.663</x:v>
      </x:c>
      <x:c r="G5" s="70" t="n">
        <x:v>0.773</x:v>
      </x:c>
      <x:c r="H5" s="70" t="n">
        <x:f>AVERAGE(D5:G5)</x:f>
        <x:v>0.5557500000000001</x:v>
      </x:c>
      <x:c r="I5" s="69" t="str">
        <x:v>RGB video; paper protocol</x:v>
      </x:c>
      <x:c r="J5" s="69" t="str">
        <x:v>Top-1 accuracy averaged over three runs (values supplied by user)</x:v>
      </x:c>
    </x:row>
    <x:row r="6">
      <x:c r="A6" s="69" t="str">
        <x:v>DAiSEE paper Table 3</x:v>
      </x:c>
      <x:c r="B6" s="69" t="str">
        <x:v>C3D Training</x:v>
      </x:c>
      <x:c r="C6" s="69" t="n">
        <x:v>3</x:v>
      </x:c>
      <x:c r="D6" s="70" t="n">
        <x:v>0.472</x:v>
      </x:c>
      <x:c r="E6" s="70" t="n">
        <x:v>0.486</x:v>
      </x:c>
      <x:c r="F6" s="70" t="n">
        <x:v>0.679</x:v>
      </x:c>
      <x:c r="G6" s="70" t="n">
        <x:v>0.783</x:v>
      </x:c>
      <x:c r="H6" s="70" t="n">
        <x:f>AVERAGE(D6:G6)</x:f>
        <x:v>0.605</x:v>
      </x:c>
      <x:c r="I6" s="69" t="str">
        <x:v>RGB video; paper protocol</x:v>
      </x:c>
      <x:c r="J6" s="69" t="str">
        <x:v>Top-1 accuracy averaged over three runs (values supplied by user)</x:v>
      </x:c>
    </x:row>
    <x:row r="7">
      <x:c r="A7" s="69" t="str">
        <x:v>DAiSEE paper Table 3</x:v>
      </x:c>
      <x:c r="B7" s="69" t="str">
        <x:v>C3D Fine-Tuning</x:v>
      </x:c>
      <x:c r="C7" s="69" t="n">
        <x:v>3</x:v>
      </x:c>
      <x:c r="D7" s="70" t="n">
        <x:v>0.452</x:v>
      </x:c>
      <x:c r="E7" s="70" t="n">
        <x:v>0.561</x:v>
      </x:c>
      <x:c r="F7" s="70" t="n">
        <x:v>0.663</x:v>
      </x:c>
      <x:c r="G7" s="70" t="n">
        <x:v>0.791</x:v>
      </x:c>
      <x:c r="H7" s="70" t="n">
        <x:f>AVERAGE(D7:G7)</x:f>
        <x:v>0.61675</x:v>
      </x:c>
      <x:c r="I7" s="69" t="str">
        <x:v>RGB video; paper protocol</x:v>
      </x:c>
      <x:c r="J7" s="69" t="str">
        <x:v>Top-1 accuracy averaged over three runs (values supplied by user)</x:v>
      </x:c>
    </x:row>
    <x:row r="8">
      <x:c r="A8" s="69" t="str">
        <x:v>DAiSEE paper Table 3</x:v>
      </x:c>
      <x:c r="B8" s="69" t="str">
        <x:v>LRCN</x:v>
      </x:c>
      <x:c r="C8" s="69" t="n">
        <x:v>3</x:v>
      </x:c>
      <x:c r="D8" s="70" t="n">
        <x:v>0.537</x:v>
      </x:c>
      <x:c r="E8" s="70" t="n">
        <x:v>0.579</x:v>
      </x:c>
      <x:c r="F8" s="70" t="n">
        <x:v>0.723</x:v>
      </x:c>
      <x:c r="G8" s="70" t="n">
        <x:v>0.735</x:v>
      </x:c>
      <x:c r="H8" s="70" t="n">
        <x:f>AVERAGE(D8:G8)</x:f>
        <x:v>0.6435</x:v>
      </x:c>
      <x:c r="I8" s="69" t="str">
        <x:v>RGB video; paper protocol</x:v>
      </x:c>
      <x:c r="J8" s="69" t="str">
        <x:v>Top-1 accuracy averaged over three runs (values supplied by user)</x:v>
      </x:c>
    </x:row>
    <x:row r="9">
      <x:c r="A9" s="63" t="str">
        <x:v>OELM experiment</x:v>
      </x:c>
      <x:c r="B9" s="63" t="str">
        <x:v>Existing XGBoost</x:v>
      </x:c>
      <x:c r="C9" s="63" t="n">
        <x:v>1</x:v>
      </x:c>
      <x:c r="D9" s="64" t="n">
        <x:v>0.38363982244768546</x:v>
      </x:c>
      <x:c r="E9" s="64" t="n">
        <x:v>0.5313887127457197</x:v>
      </x:c>
      <x:c r="F9" s="64" t="n">
        <x:v>0.6188966391883323</x:v>
      </x:c>
      <x:c r="G9" s="64" t="n">
        <x:v>0.6347495244134432</x:v>
      </x:c>
      <x:c r="H9" s="64" t="n">
        <x:f>AVERAGE(D9:G9)</x:f>
        <x:v>0.5421686746987951</x:v>
      </x:c>
      <x:c r="I9" s="63" t="str">
        <x:v>364 blendshape statistics</x:v>
      </x:c>
      <x:c r="J9" s="63" t="str">
        <x:v>Keep for 4-level severity display</x:v>
      </x:c>
    </x:row>
    <x:row r="10">
      <x:c r="A10" s="63" t="str">
        <x:v>OELM experiment</x:v>
      </x:c>
      <x:c r="B10" s="63" t="str">
        <x:v>TCN-CORN</x:v>
      </x:c>
      <x:c r="C10" s="63" t="n">
        <x:v>2</x:v>
      </x:c>
      <x:c r="D10" s="64" t="n">
        <x:v>0.4109067850348763</x:v>
      </x:c>
      <x:c r="E10" s="64" t="n">
        <x:v>0.5370957514267597</x:v>
      </x:c>
      <x:c r="F10" s="64" t="n">
        <x:v>0.5545339251743817</x:v>
      </x:c>
      <x:c r="G10" s="64" t="n">
        <x:v>0.7032339885859227</x:v>
      </x:c>
      <x:c r="H10" s="64" t="n">
        <x:f>AVERAGE(D10:G10)</x:f>
        <x:v>0.5514426125554851</x:v>
      </x:c>
      <x:c r="I10" s="63" t="str">
        <x:v>52 blendshapes + temporal deltas</x:v>
      </x:c>
      <x:c r="J10" s="63" t="str">
        <x:v>Best temporal ordinal challenger</x:v>
      </x:c>
    </x:row>
    <x:row r="11">
      <x:c r="A11" s="63" t="str">
        <x:v>OELM experiment</x:v>
      </x:c>
      <x:c r="B11" s="63" t="str">
        <x:v>BiLSTM-CORN</x:v>
      </x:c>
      <x:c r="C11" s="63" t="n">
        <x:v>1</x:v>
      </x:c>
      <x:c r="D11" s="64" t="n">
        <x:v>0.4109067850348763</x:v>
      </x:c>
      <x:c r="E11" s="64" t="n">
        <x:v>0.5206087507926442</x:v>
      </x:c>
      <x:c r="F11" s="64" t="n">
        <x:v>0.5136334812935954</x:v>
      </x:c>
      <x:c r="G11" s="64" t="n">
        <x:v>0.6220672162333545</x:v>
      </x:c>
      <x:c r="H11" s="64" t="n">
        <x:f>AVERAGE(D11:G11)</x:f>
        <x:v>0.5168040583386175</x:v>
      </x:c>
      <x:c r="I11" s="63" t="str">
        <x:v>52 blendshapes + temporal deltas</x:v>
      </x:c>
      <x:c r="J11" s="63" t="str">
        <x:v>Do not promote over existing XGBoost</x:v>
      </x:c>
    </x:row>
    <x:row r="12">
      <x:c r="A12" s="63" t="str">
        <x:v>OELM experiment</x:v>
      </x:c>
      <x:c r="B12" s="63" t="str">
        <x:v>Logistic Regression</x:v>
      </x:c>
      <x:c r="C12" s="63" t="n">
        <x:v>1</x:v>
      </x:c>
      <x:c r="D12" s="64" t="n">
        <x:v>0.362714013950539</x:v>
      </x:c>
      <x:c r="E12" s="64" t="n">
        <x:v>0.4559289790741915</x:v>
      </x:c>
      <x:c r="F12" s="64" t="n">
        <x:v>0.3532022828154724</x:v>
      </x:c>
      <x:c r="G12" s="64" t="n">
        <x:v>0.4629042485732403</x:v>
      </x:c>
      <x:c r="H12" s="64" t="n">
        <x:f>AVERAGE(D12:G12)</x:f>
        <x:v>0.4086873811033608</x:v>
      </x:c>
      <x:c r="I12" s="63" t="str">
        <x:v>364 blendshape + 84 behaviour statistics</x:v>
      </x:c>
      <x:c r="J12" s="63" t="str">
        <x:v>Fast baseline; weak exact-level discrimination</x:v>
      </x:c>
    </x:row>
    <x:row r="13">
      <x:c r="A13" s="63" t="str">
        <x:v>OELM experiment</x:v>
      </x:c>
      <x:c r="B13" s="63" t="str">
        <x:v>Linear SVM</x:v>
      </x:c>
      <x:c r="C13" s="63" t="n">
        <x:v>1</x:v>
      </x:c>
      <x:c r="D13" s="64" t="n">
        <x:v>0.3842739378566899</x:v>
      </x:c>
      <x:c r="E13" s="64" t="n">
        <x:v>0.4749524413443247</x:v>
      </x:c>
      <x:c r="F13" s="64" t="n">
        <x:v>0.5161699429296132</x:v>
      </x:c>
      <x:c r="G13" s="64" t="n">
        <x:v>0.6258719086873811</x:v>
      </x:c>
      <x:c r="H13" s="64" t="n">
        <x:f>AVERAGE(D13:G13)</x:f>
        <x:v>0.5003170577045022</x:v>
      </x:c>
      <x:c r="I13" s="63" t="str">
        <x:v>364 blendshape + 84 behaviour statistics</x:v>
      </x:c>
      <x:c r="J13" s="63" t="str">
        <x:v>Best classical 4-level class balance</x:v>
      </x:c>
    </x:row>
    <x:row r="14">
      <x:c r="A14" s="63" t="str">
        <x:v>OELM experiment</x:v>
      </x:c>
      <x:c r="B14" s="63" t="str">
        <x:v>Random Forest</x:v>
      </x:c>
      <x:c r="C14" s="63" t="n">
        <x:v>2</x:v>
      </x:c>
      <x:c r="D14" s="64" t="n">
        <x:v>0.4714648065948003</x:v>
      </x:c>
      <x:c r="E14" s="64" t="n">
        <x:v>0.5301204819277108</x:v>
      </x:c>
      <x:c r="F14" s="64" t="n">
        <x:v>0.6975269499048827</x:v>
      </x:c>
      <x:c r="G14" s="64" t="n">
        <x:v>0.7837666455294864</x:v>
      </x:c>
      <x:c r="H14" s="64" t="n">
        <x:f>AVERAGE(D14:G14)</x:f>
        <x:v>0.62071972098922</x:v>
      </x:c>
      <x:c r="I14" s="63" t="str">
        <x:v>364 blendshape + 84 behaviour statistics</x:v>
      </x:c>
      <x:c r="J14" s="63" t="str">
        <x:v>Majority-dominated; low MAE but weak macro-F1</x:v>
      </x:c>
    </x:row>
    <x:row r="15">
      <x:c r="A15" s="63" t="str">
        <x:v>OELM experiment</x:v>
      </x:c>
      <x:c r="B15" s="63" t="str">
        <x:v>Extra Trees</x:v>
      </x:c>
      <x:c r="C15" s="63" t="n">
        <x:v>2</x:v>
      </x:c>
      <x:c r="D15" s="64" t="n">
        <x:v>0.47812301838934684</x:v>
      </x:c>
      <x:c r="E15" s="64" t="n">
        <x:v>0.5415345592897907</x:v>
      </x:c>
      <x:c r="F15" s="64" t="n">
        <x:v>0.6972098922003804</x:v>
      </x:c>
      <x:c r="G15" s="64" t="n">
        <x:v>0.7837666455294864</x:v>
      </x:c>
      <x:c r="H15" s="64" t="n">
        <x:f>AVERAGE(D15:G15)</x:f>
        <x:v>0.6251585288522511</x:v>
      </x:c>
      <x:c r="I15" s="63" t="str">
        <x:v>364 blendshape + 84 behaviour statistics</x:v>
      </x:c>
      <x:c r="J15" s="63" t="str">
        <x:v>Best tree MAE; weak minority-level recall</x:v>
      </x:c>
    </x:row>
    <x:row r="16">
      <x:c r="A16" s="63" t="str">
        <x:v>OELM experiment</x:v>
      </x:c>
      <x:c r="B16" s="63" t="str">
        <x:v>Retrained combined XGBoost</x:v>
      </x:c>
      <x:c r="C16" s="63" t="n">
        <x:v>1</x:v>
      </x:c>
      <x:c r="D16" s="64" t="n">
        <x:v>0.40012682308180086</x:v>
      </x:c>
      <x:c r="E16" s="64" t="n">
        <x:v>0.5364616360177552</x:v>
      </x:c>
      <x:c r="F16" s="64" t="n">
        <x:v>0.6506024096385542</x:v>
      </x:c>
      <x:c r="G16" s="64" t="n">
        <x:v>0.7222574508560557</x:v>
      </x:c>
      <x:c r="H16" s="64" t="n">
        <x:f>AVERAGE(D16:G16)</x:f>
        <x:v>0.5773620798985415</x:v>
      </x:c>
      <x:c r="I16" s="63" t="str">
        <x:v>448 blendshape + behaviour statistics</x:v>
      </x:c>
      <x:c r="J16" s="63" t="str">
        <x:v>Controlled retraining baseline for temporal ablation</x:v>
      </x:c>
    </x:row>
    <x:row r="17">
      <x:c r="A17" s="63" t="str">
        <x:v>OELM experiment</x:v>
      </x:c>
      <x:c r="B17" s="63" t="str">
        <x:v>Full temporal XGBoost</x:v>
      </x:c>
      <x:c r="C17" s="63" t="n">
        <x:v>1</x:v>
      </x:c>
      <x:c r="D17" s="64" t="n">
        <x:v>0.42358909321496513</x:v>
      </x:c>
      <x:c r="E17" s="64" t="n">
        <x:v>0.5307545973367153</x:v>
      </x:c>
      <x:c r="F17" s="64" t="n">
        <x:v>0.6620164870006341</x:v>
      </x:c>
      <x:c r="G17" s="64" t="n">
        <x:v>0.7362079898541535</x:v>
      </x:c>
      <x:c r="H17" s="64" t="n">
        <x:f>AVERAGE(D17:G17)</x:f>
        <x:v>0.588142041851617</x:v>
      </x:c>
      <x:c r="I17" s="63" t="str">
        <x:v>1,664 distribution + temporal statistics</x:v>
      </x:c>
      <x:c r="J17" s="63" t="str">
        <x:v>Do not promote; full set adds noise and training cost</x:v>
      </x:c>
    </x:row>
    <x:row r="18">
      <x:c r="A18" s="65" t="str">
        <x:v>OELM experiment</x:v>
      </x:c>
      <x:c r="B18" s="65" t="str">
        <x:v>Selected temporal XGBoost</x:v>
      </x:c>
      <x:c r="C18" s="65" t="n">
        <x:v>2</x:v>
      </x:c>
      <x:c r="D18" s="66" t="n">
        <x:v>0.4124920735573875</x:v>
      </x:c>
      <x:c r="E18" s="66" t="n">
        <x:v>0.5228281547241598</x:v>
      </x:c>
      <x:c r="F18" s="66" t="n">
        <x:v>0.6515535827520609</x:v>
      </x:c>
      <x:c r="G18" s="66" t="n">
        <x:v>0.7415979708306912</x:v>
      </x:c>
      <x:c r="H18" s="66" t="n">
        <x:f>AVERAGE(D18:G18)</x:f>
        <x:v>0.5821179454660748</x:v>
      </x:c>
      <x:c r="I18" s="65" t="str">
        <x:v>512 task-specific features selected from 1,664</x:v>
      </x:c>
      <x:c r="J18" s="65" t="str">
        <x:v>Best four-level accuracy/MAE trade-off</x:v>
      </x:c>
    </x:row>
    <x:row r="21" ht="32" customHeight="1">
      <x:c r="A21" s="26" t="str">
        <x:v>State</x:v>
      </x:c>
      <x:c r="B21" s="27" t="str">
        <x:v>Paper-best model</x:v>
      </x:c>
      <x:c r="C21" s="27" t="str">
        <x:v>Paper-best accuracy</x:v>
      </x:c>
      <x:c r="D21" s="27" t="str">
        <x:v>Selected temporal XGBoost</x:v>
      </x:c>
      <x:c r="E21" s="27" t="str">
        <x:v>Gap (OELM - paper)</x:v>
      </x:c>
      <x:c r="G21" s="15" t="str">
        <x:v>State</x:v>
      </x:c>
      <x:c r="H21" s="16" t="str">
        <x:v>Paper best</x:v>
      </x:c>
      <x:c r="I21" s="17" t="str">
        <x:v>Selected temporal XGBoost</x:v>
      </x:c>
    </x:row>
    <x:row r="22">
      <x:c r="A22" s="71" t="str">
        <x:v>Boredom</x:v>
      </x:c>
      <x:c r="B22" s="72" t="str">
        <x:v>LRCN</x:v>
      </x:c>
      <x:c r="C22" s="73" t="n">
        <x:f>D8</x:f>
        <x:v>0.537</x:v>
      </x:c>
      <x:c r="D22" s="73" t="n">
        <x:f>D18</x:f>
        <x:v>0.4124920735573875</x:v>
      </x:c>
      <x:c r="E22" s="73" t="n">
        <x:f>D22-C22</x:f>
        <x:v>-0.12450792644261255</x:v>
      </x:c>
      <x:c r="G22" t="str">
        <x:f>A22</x:f>
        <x:v>Boredom</x:v>
      </x:c>
      <x:c r="H22" s="50" t="n">
        <x:f>C22</x:f>
        <x:v>0.537</x:v>
      </x:c>
      <x:c r="I22" s="50" t="n">
        <x:f>D22</x:f>
        <x:v>0.4124920735573875</x:v>
      </x:c>
    </x:row>
    <x:row r="23">
      <x:c r="A23" s="71" t="str">
        <x:v>Engagement</x:v>
      </x:c>
      <x:c r="B23" s="72" t="str">
        <x:v>LRCN</x:v>
      </x:c>
      <x:c r="C23" s="73" t="n">
        <x:f>E8</x:f>
        <x:v>0.579</x:v>
      </x:c>
      <x:c r="D23" s="73" t="n">
        <x:f>E18</x:f>
        <x:v>0.5228281547241598</x:v>
      </x:c>
      <x:c r="E23" s="73" t="n">
        <x:f>D23-C23</x:f>
        <x:v>-0.05617184527584018</x:v>
      </x:c>
      <x:c r="G23" t="str">
        <x:f>A23</x:f>
        <x:v>Engagement</x:v>
      </x:c>
      <x:c r="H23" s="50" t="n">
        <x:f>C23</x:f>
        <x:v>0.579</x:v>
      </x:c>
      <x:c r="I23" s="50" t="n">
        <x:f>D23</x:f>
        <x:v>0.5228281547241598</x:v>
      </x:c>
    </x:row>
    <x:row r="24">
      <x:c r="A24" s="71" t="str">
        <x:v>Confusion</x:v>
      </x:c>
      <x:c r="B24" s="72" t="str">
        <x:v>LRCN</x:v>
      </x:c>
      <x:c r="C24" s="73" t="n">
        <x:f>F8</x:f>
        <x:v>0.723</x:v>
      </x:c>
      <x:c r="D24" s="73" t="n">
        <x:f>F18</x:f>
        <x:v>0.6515535827520609</x:v>
      </x:c>
      <x:c r="E24" s="73" t="n">
        <x:f>D24-C24</x:f>
        <x:v>-0.0714464172479391</x:v>
      </x:c>
      <x:c r="G24" t="str">
        <x:f>A24</x:f>
        <x:v>Confusion</x:v>
      </x:c>
      <x:c r="H24" s="50" t="n">
        <x:f>C24</x:f>
        <x:v>0.723</x:v>
      </x:c>
      <x:c r="I24" s="50" t="n">
        <x:f>D24</x:f>
        <x:v>0.6515535827520609</x:v>
      </x:c>
    </x:row>
    <x:row r="25">
      <x:c r="A25" s="71" t="str">
        <x:v>Frustration</x:v>
      </x:c>
      <x:c r="B25" s="72" t="str">
        <x:v>C3D Fine-Tuning</x:v>
      </x:c>
      <x:c r="C25" s="73" t="n">
        <x:f>G7</x:f>
        <x:v>0.791</x:v>
      </x:c>
      <x:c r="D25" s="73" t="n">
        <x:f>G18</x:f>
        <x:v>0.7415979708306912</x:v>
      </x:c>
      <x:c r="E25" s="73" t="n">
        <x:f>D25-C25</x:f>
        <x:v>-0.0494020291693088</x:v>
      </x:c>
      <x:c r="G25" t="str">
        <x:f>A25</x:f>
        <x:v>Frustration</x:v>
      </x:c>
      <x:c r="H25" s="50" t="n">
        <x:f>C25</x:f>
        <x:v>0.791</x:v>
      </x:c>
      <x:c r="I25" s="50" t="n">
        <x:f>D25</x:f>
        <x:v>0.7415979708306912</x:v>
      </x:c>
    </x:row>
    <x:row r="26">
      <x:c r="A26" s="74" t="str">
        <x:v>Mean</x:v>
      </x:c>
      <x:c r="B26" s="75" t="str">
        <x:v>Best paper model per state</x:v>
      </x:c>
      <x:c r="C26" s="76" t="n">
        <x:f>AVERAGE(C22:C25)</x:f>
        <x:v>0.6575</x:v>
      </x:c>
      <x:c r="D26" s="76" t="n">
        <x:f>AVERAGE(D22:D25)</x:f>
        <x:v>0.5821179454660748</x:v>
      </x:c>
      <x:c r="E26" s="76" t="n">
        <x:f>D26-C26</x:f>
        <x:v>-0.07538205453392521</x:v>
      </x:c>
    </x:row>
  </x:sheetData>
  <x:mergeCells>
    <x:mergeCell ref="A1:J1"/>
    <x:mergeCell ref="A2:J2"/>
  </x:mergeCells>
  <x:conditionalFormatting sqref="D4:H18">
    <x:cfRule type="colorScale" priority="1">
      <x:colorScale>
        <x:cfvo type="min"/>
        <x:cfvo type="percentile" val="50"/>
        <x:cfvo type="max"/>
        <x:color rgb="FFFCE8E6"/>
        <x:color rgb="FFFFF2CC"/>
        <x:color rgb="FFE2F0D9"/>
      </x:colorScale>
    </x:cfRule>
  </x:conditionalFormatting>
  <x:pageMargins left="0.7" right="0.7" top="0.75" bottom="0.75" header="0.3" footer="0.3"/>
  <x:drawing xmlns:r="http://schemas.openxmlformats.org/officeDocument/2006/relationships" r:id="R49833120017c46c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24" hidden="0" customWidth="1"/>
    <x:col min="4" max="4" width="60" hidden="0" customWidth="1"/>
  </x:cols>
  <x:sheetData>
    <x:row r="1">
      <x:c r="A1" s="59" t="str">
        <x:v>Definitions, evaluation rules, and cleanup scope</x:v>
      </x:c>
      <x:c r="B1" s="59"/>
      <x:c r="C1" s="59"/>
      <x:c r="D1" s="59"/>
    </x:row>
    <x:row r="3" ht="32" customHeight="1">
      <x:c r="A3" s="15" t="str">
        <x:v>Item</x:v>
      </x:c>
      <x:c r="B3" s="16" t="str">
        <x:v>Definition</x:v>
      </x:c>
      <x:c r="C3" s="16" t="str">
        <x:v>Applies to</x:v>
      </x:c>
      <x:c r="D3" s="17" t="str">
        <x:v>Interpretation</x:v>
      </x:c>
    </x:row>
    <x:row r="4">
      <x:c r="A4" s="61" t="str">
        <x:v>Ordinal target</x:v>
      </x:c>
      <x:c r="B4" s="61" t="str">
        <x:v>Four DAiSEE levels: 0, 1, 2, 3</x:v>
      </x:c>
      <x:c r="C4" s="61" t="str">
        <x:v>Ordinal 4-level</x:v>
      </x:c>
      <x:c r="D4" s="61" t="str">
        <x:v>Chance balanced accuracy is 25%; do not compare directly with binary metrics.</x:v>
      </x:c>
    </x:row>
    <x:row r="5">
      <x:c r="A5" s="63" t="str">
        <x:v>Binary target</x:v>
      </x:c>
      <x:c r="B5" s="63" t="str">
        <x:v>Low = original 0/1; High = original 2/3</x:v>
      </x:c>
      <x:c r="C5" s="63" t="str">
        <x:v>Binary Low/High</x:v>
      </x:c>
      <x:c r="D5" s="63" t="str">
        <x:v>Chance balanced accuracy is 50%.</x:v>
      </x:c>
    </x:row>
    <x:row r="6">
      <x:c r="A6" s="63" t="str">
        <x:v>OELM problem recall</x:v>
      </x:c>
      <x:c r="B6" s="63" t="str">
        <x:v>Mean recall of High boredom, Low engagement, High confusion, and High frustration</x:v>
      </x:c>
      <x:c r="C6" s="63" t="str">
        <x:v>Binary Low/High</x:v>
      </x:c>
      <x:c r="D6" s="63" t="str">
        <x:v>Primary intervention-oriented measure; higher is better.</x:v>
      </x:c>
    </x:row>
    <x:row r="7">
      <x:c r="A7" s="63" t="str">
        <x:v>Macro-F1</x:v>
      </x:c>
      <x:c r="B7" s="63" t="str">
        <x:v>Unweighted mean of class F1 scores</x:v>
      </x:c>
      <x:c r="C7" s="63" t="str">
        <x:v>All</x:v>
      </x:c>
      <x:c r="D7" s="63" t="str">
        <x:v>Less dominated by majority classes than ordinary accuracy.</x:v>
      </x:c>
    </x:row>
    <x:row r="8">
      <x:c r="A8" s="63" t="str">
        <x:v>Balanced accuracy</x:v>
      </x:c>
      <x:c r="B8" s="63" t="str">
        <x:v>Unweighted mean of class recalls</x:v>
      </x:c>
      <x:c r="C8" s="63" t="str">
        <x:v>All</x:v>
      </x:c>
      <x:c r="D8" s="63" t="str">
        <x:v>Primary class-imbalance measure; higher is better.</x:v>
      </x:c>
    </x:row>
    <x:row r="9">
      <x:c r="A9" s="63" t="str">
        <x:v>Kappa</x:v>
      </x:c>
      <x:c r="B9" s="63" t="str">
        <x:v>Agreement beyond chance using the saved evaluation implementation</x:v>
      </x:c>
      <x:c r="C9" s="63" t="str">
        <x:v>All</x:v>
      </x:c>
      <x:c r="D9" s="63" t="str">
        <x:v>Low values indicate limited improvement over prevalence-driven agreement.</x:v>
      </x:c>
    </x:row>
    <x:row r="10">
      <x:c r="A10" s="63" t="str">
        <x:v>Threshold selection</x:v>
      </x:c>
      <x:c r="B10" s="63" t="str">
        <x:v>Binary per-label thresholds tuned on validation macro-F1 only</x:v>
      </x:c>
      <x:c r="C10" s="63" t="str">
        <x:v>Binary Low/High</x:v>
      </x:c>
      <x:c r="D10" s="63" t="str">
        <x:v>Test labels were not used for threshold tuning.</x:v>
      </x:c>
    </x:row>
    <x:row r="11">
      <x:c r="A11" s="63" t="str">
        <x:v>Seed aggregation</x:v>
      </x:c>
      <x:c r="B11" s="63" t="str">
        <x:v>Summary values are arithmetic means across available serious runs</x:v>
      </x:c>
      <x:c r="C11" s="63" t="str">
        <x:v>Summary</x:v>
      </x:c>
      <x:c r="D11" s="63" t="str">
        <x:v>Single-run baselines are clearly marked with one run.</x:v>
      </x:c>
    </x:row>
    <x:row r="12">
      <x:c r="A12" s="63" t="str">
        <x:v>Participant split</x:v>
      </x:c>
      <x:c r="B12" s="63" t="str">
        <x:v>70 train, 22 validation, 21 test participants; zero participant overlap</x:v>
      </x:c>
      <x:c r="C12" s="63" t="str">
        <x:v>All</x:v>
      </x:c>
      <x:c r="D12" s="63" t="str">
        <x:v>Supports participant-independent generalization testing.</x:v>
      </x:c>
    </x:row>
    <x:row r="13">
      <x:c r="A13" s="63" t="str">
        <x:v>Excluded results</x:v>
      </x:c>
      <x:c r="B13" s="63" t="str">
        <x:v>Smoke-model, smoke-lstm, smoke-binary-tcn, and feature-extraction benchmarks</x:v>
      </x:c>
      <x:c r="C13" s="63" t="str">
        <x:v>Cleanup</x:v>
      </x:c>
      <x:c r="D13" s="63" t="str">
        <x:v>Engineering checks only; excluded from scientific ranking.</x:v>
      </x:c>
    </x:row>
    <x:row r="14">
      <x:c r="A14" s="63" t="str">
        <x:v>Classical feature set</x:v>
      </x:c>
      <x:c r="B14" s="63" t="str">
        <x:v>448 clip-level aggregates: 364 blendshape statistics + 84 behavioural statistics</x:v>
      </x:c>
      <x:c r="C14" s="63" t="str">
        <x:v>Classical models</x:v>
      </x:c>
      <x:c r="D14" s="63" t="str">
        <x:v>Uses the same participant-independent data split as the combined-feature XGBoost.</x:v>
      </x:c>
    </x:row>
    <x:row r="15">
      <x:c r="A15" s="63" t="str">
        <x:v>Temporal feature set</x:v>
      </x:c>
      <x:c r="B15" s="63" t="str">
        <x:v>1,664 candidates: original distribution statistics plus quantiles, range, trend, velocity, acceleration, autocorrelation, motion density, and frequency descriptors</x:v>
      </x:c>
      <x:c r="C15" s="63" t="str">
        <x:v>Temporal XGBoost</x:v>
      </x:c>
      <x:c r="D15" s="63" t="str">
        <x:v>Computed independently within each 50-frame clip; no labels or cross-participant information enter feature extraction.</x:v>
      </x:c>
    </x:row>
    <x:row r="16">
      <x:c r="A16" s="63" t="str">
        <x:v>Temporal feature selection</x:v>
      </x:c>
      <x:c r="B16" s="63" t="str">
        <x:v>Top 512 inputs selected separately for each affective target using training-only ANOVA F scores</x:v>
      </x:c>
      <x:c r="C16" s="63" t="str">
        <x:v>Selected temporal XGBoost</x:v>
      </x:c>
      <x:c r="D16" s="63" t="str">
        <x:v>Validation controls early stopping; the test split is not used for feature selection or model fitting.</x:v>
      </x:c>
    </x:row>
    <x:row r="17">
      <x:c r="A17" s="63" t="str">
        <x:v>Paper benchmark</x:v>
      </x:c>
      <x:c r="B17" s="63" t="str">
        <x:v>DAiSEE Table 3 Top-1 accuracy values supplied by the user; paper reports three-run means</x:v>
      </x:c>
      <x:c r="C17" s="63" t="str">
        <x:v>Paper Benchmark sheet</x:v>
      </x:c>
      <x:c r="D17" s="63" t="str">
        <x:v>Indicative comparison only because RGB-video inputs, preprocessing, run aggregation, and evaluated population may differ from OELM.</x:v>
      </x:c>
    </x:row>
    <x:row r="18">
      <x:c r="A18" s="63" t="str">
        <x:v>Four-level tree caution</x:v>
      </x:c>
      <x:c r="B18" s="63" t="str">
        <x:v>Random Forest and Extra Trees obtain low MAE and high accuracy while retaining weak macro-F1 and balanced accuracy</x:v>
      </x:c>
      <x:c r="C18" s="63" t="str">
        <x:v>Ordinal classical models</x:v>
      </x:c>
      <x:c r="D18" s="63" t="str">
        <x:v>The result is prevalence dominated; do not select these models from accuracy or MAE alone.</x:v>
      </x:c>
    </x:row>
    <x:row r="19">
      <x:c r="A19" s="65" t="str">
        <x:v>Recommended deployment</x:v>
      </x:c>
      <x:c r="B19" s="65" t="str">
        <x:v>Selected temporal XGBoost for four-level accuracy/MAE + Binary TCN intervention gate; retain existing XGBoost and Linear SVM as class-balance benchmarks</x:v>
      </x:c>
      <x:c r="C19" s="65" t="str">
        <x:v>OELM</x:v>
      </x:c>
      <x:c r="D19" s="65" t="str">
        <x:v>Balances exact-level accuracy, ordinal error, minority-problem recall, speed, and ongoing bias monitoring.</x:v>
      </x:c>
    </x:row>
  </x:sheetData>
  <x:mergeCells>
    <x:mergeCell ref="A1:D1"/>
  </x:mergeCells>
  <x:pageMargins left="0.7" right="0.7" top="0.75" bottom="0.75" header="0.3" footer="0.3"/>
</x:worksheet>
</file>